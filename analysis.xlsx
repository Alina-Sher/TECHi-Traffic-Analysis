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drawings/drawing1.xml" ContentType="application/vnd.openxmlformats-officedocument.drawing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15345" windowHeight="3930" firstSheet="1" activeTab="6"/>
  </bookViews>
  <sheets>
    <sheet name="traffic_table" sheetId="1" r:id="rId1"/>
    <sheet name="Raw_Traffic" sheetId="3" r:id="rId2"/>
    <sheet name="Traffic_Analysis" sheetId="2" r:id="rId3"/>
    <sheet name="Raw_Articles" sheetId="8" r:id="rId4"/>
    <sheet name="Part1_Findings" sheetId="4" r:id="rId5"/>
    <sheet name="Notes_Check" sheetId="5" r:id="rId6"/>
    <sheet name="Charts" sheetId="6" r:id="rId7"/>
  </sheets>
  <calcPr calcId="162913"/>
</workbook>
</file>

<file path=xl/calcChain.xml><?xml version="1.0" encoding="utf-8"?>
<calcChain xmlns="http://schemas.openxmlformats.org/spreadsheetml/2006/main">
  <c r="F26" i="2" l="1"/>
  <c r="F27" i="2" s="1"/>
  <c r="F25" i="2"/>
  <c r="F24" i="2"/>
  <c r="L31" i="2"/>
  <c r="L30" i="2"/>
  <c r="L29" i="2"/>
  <c r="L26" i="2"/>
  <c r="L25" i="2"/>
  <c r="L27" i="2" l="1"/>
  <c r="L28" i="2" s="1"/>
  <c r="L14" i="2"/>
  <c r="L13" i="2"/>
  <c r="L12" i="2"/>
  <c r="M7" i="2"/>
  <c r="L7" i="2"/>
  <c r="N7" i="2" s="1"/>
  <c r="O7" i="2" s="1"/>
  <c r="M6" i="2"/>
  <c r="L6" i="2"/>
  <c r="N6" i="2" s="1"/>
  <c r="O6" i="2" s="1"/>
  <c r="M5" i="2"/>
  <c r="L5" i="2"/>
  <c r="N5" i="2" s="1"/>
  <c r="O5" i="2" s="1"/>
  <c r="M4" i="2"/>
  <c r="L4" i="2"/>
  <c r="N4" i="2" s="1"/>
  <c r="O4" i="2" s="1"/>
  <c r="M3" i="2"/>
  <c r="L3" i="2"/>
  <c r="N3" i="2" s="1"/>
  <c r="O3" i="2" s="1"/>
  <c r="M2" i="2"/>
  <c r="L2" i="2"/>
  <c r="L17" i="2" l="1"/>
  <c r="M17" i="2"/>
  <c r="L18" i="2" s="1"/>
  <c r="M13" i="2"/>
  <c r="N13" i="2" s="1"/>
  <c r="M14" i="2"/>
  <c r="N14" i="2" s="1"/>
  <c r="N2" i="2"/>
  <c r="O2" i="2" s="1"/>
  <c r="H13" i="2"/>
  <c r="L20" i="2" s="1"/>
  <c r="H12" i="2"/>
  <c r="H11" i="2"/>
  <c r="H10" i="2"/>
  <c r="H9" i="2"/>
  <c r="H8" i="2"/>
  <c r="H7" i="2"/>
  <c r="M8" i="2" s="1"/>
  <c r="H6" i="2"/>
  <c r="L8" i="2" s="1"/>
  <c r="H5" i="2"/>
  <c r="H2" i="2"/>
  <c r="H4" i="2"/>
  <c r="H3" i="2"/>
  <c r="N8" i="2" l="1"/>
  <c r="O8" i="2" s="1"/>
  <c r="L21" i="2"/>
  <c r="L22" i="2" s="1"/>
</calcChain>
</file>

<file path=xl/sharedStrings.xml><?xml version="1.0" encoding="utf-8"?>
<sst xmlns="http://schemas.openxmlformats.org/spreadsheetml/2006/main" count="882" uniqueCount="408">
  <si>
    <t>month</t>
  </si>
  <si>
    <t>AI</t>
  </si>
  <si>
    <t>Markets</t>
  </si>
  <si>
    <t>Crypto</t>
  </si>
  <si>
    <t>Breakthroughs</t>
  </si>
  <si>
    <t>Policy</t>
  </si>
  <si>
    <t>Guides</t>
  </si>
  <si>
    <t>newsletter_signups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</si>
  <si>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</si>
  <si>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</si>
  <si>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</si>
  <si>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</si>
  <si>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</si>
  <si>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</si>
  <si>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</si>
  <si>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</si>
  <si>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</si>
  <si>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</si>
  <si>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</si>
  <si>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</si>
  <si>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Month</t>
  </si>
  <si>
    <t>Total Sessions</t>
  </si>
  <si>
    <t>Newsletter Signups</t>
  </si>
  <si>
    <t>Section</t>
  </si>
  <si>
    <t>Change</t>
  </si>
  <si>
    <t>Change %</t>
  </si>
  <si>
    <t>Total</t>
  </si>
  <si>
    <t>Crypto Sessions</t>
  </si>
  <si>
    <t>Change vs Previous Month</t>
  </si>
  <si>
    <t>Jan-26</t>
  </si>
  <si>
    <t>Feb-26</t>
  </si>
  <si>
    <t>Traffic excluding Guides</t>
  </si>
  <si>
    <t>Measurement Factor</t>
  </si>
  <si>
    <t>Aug-26 Reported Sessions</t>
  </si>
  <si>
    <t>Estimated Aug Sessions on Pre-Feb Basis</t>
  </si>
  <si>
    <t>Estimated Underlying Change vs Jan-26</t>
  </si>
  <si>
    <t>Guides Analysis</t>
  </si>
  <si>
    <t>Jan-26 Guides</t>
  </si>
  <si>
    <t>Aug-26 Guides</t>
  </si>
  <si>
    <t>Apr-26 Guides</t>
  </si>
  <si>
    <t>Apr-Aug Change</t>
  </si>
  <si>
    <t>Apr-Aug Change %</t>
  </si>
  <si>
    <t>26-Jan</t>
  </si>
  <si>
    <t>26-Feb</t>
  </si>
  <si>
    <t>Results</t>
  </si>
  <si>
    <t>Sep-25 Signups</t>
  </si>
  <si>
    <t>Aug-26 Signups</t>
  </si>
  <si>
    <t>NewsletterAnalysis</t>
  </si>
  <si>
    <t>url</t>
  </si>
  <si>
    <t>section</t>
  </si>
  <si>
    <t>headline</t>
  </si>
  <si>
    <t>author</t>
  </si>
  <si>
    <t>date_shown</t>
  </si>
  <si>
    <t>headline_word_count</t>
  </si>
  <si>
    <t>format</t>
  </si>
  <si>
    <t>names_a_company</t>
  </si>
  <si>
    <t>contains_a_number</t>
  </si>
  <si>
    <t>https://www.techi.com/gumloop-ai-review/</t>
  </si>
  <si>
    <t>Gumloop AI review: powerful agents, complicated economics</t>
  </si>
  <si>
    <t>Jazib Zaman</t>
  </si>
  <si>
    <t>Published October 2, 2026 · 8:46 PM EDT</t>
  </si>
  <si>
    <t>Review</t>
  </si>
  <si>
    <t>https://www.techi.com/palantir-stock-forecast-october-2026-estimate-gap/</t>
  </si>
  <si>
    <t>Palantir Stock Forecast for October 2026: The Estimate Gap</t>
  </si>
  <si>
    <t>Fatimah Misbah Hussain</t>
  </si>
  <si>
    <t>Published September 30, 2026 · 11:14 AM EDT</t>
  </si>
  <si>
    <t>News</t>
  </si>
  <si>
    <t>https://www.techi.com/nvidia-vs-micron-buyback-hbm-earnings-2026/</t>
  </si>
  <si>
    <t>Nvidia vs Micron Ahead of Earnings: Buyback Capacity or HBM Growth?</t>
  </si>
  <si>
    <t>Published September 29, 2026 · 4:45 PM EDT</t>
  </si>
  <si>
    <t>https://www.techi.com/verusd-stablecoin-launch-ai-agent-commitments/</t>
  </si>
  <si>
    <t>verUSD Stablecoin Launch: What Verona’s $100M AI-Agent Commitments Mean</t>
  </si>
  <si>
    <t>Zoha Imdad Ali</t>
  </si>
  <si>
    <t>Published September 29, 2026 · 10:24 AM EDT</t>
  </si>
  <si>
    <t>https://www.techi.com/dc-circuit-pentagon-anthropic-supply-chain-ruling/</t>
  </si>
  <si>
    <t>D.C. Circuit upholds Pentagon’s Anthropic supply-chain exclusion</t>
  </si>
  <si>
    <t>Saba Javed</t>
  </si>
  <si>
    <t>Published September 29, 2026 · 4:36 AM EDT</t>
  </si>
  <si>
    <t>Opinion</t>
  </si>
  <si>
    <t>https://www.techi.com/nvidia-vs-tesla-stock-ai-trade-today/</t>
  </si>
  <si>
    <t>Nvidia vs Tesla Stock: Why NVDA Wins the AI Trade Today</t>
  </si>
  <si>
    <t>Omer Sheikh</t>
  </si>
  <si>
    <t>Published September 28, 2026 · 2:18 PM EDT</t>
  </si>
  <si>
    <t>https://www.techi.com/openai-pauses-ai-model-training-agent-dns-sandbox/</t>
  </si>
  <si>
    <t>OpenAI Pauses AI Model Work After Agent Escapes Its Sandbox</t>
  </si>
  <si>
    <t>Published September 27, 2026 · 10:55 AM EDT</t>
  </si>
  <si>
    <t>https://www.techi.com/cerebras-lockup-expiration-cbrs-share-supply/</t>
  </si>
  <si>
    <t>Cerebras Lockup: 171M CBRS Shares Can Test a 34.5M IPO Float</t>
  </si>
  <si>
    <t>Umair Aslam</t>
  </si>
  <si>
    <t>Published September 26, 2026 · 12:43 AM EDT</t>
  </si>
  <si>
    <t>https://www.techi.com/akamai-anthropic-deal-capex-warrant-dilution/</t>
  </si>
  <si>
    <t>Akamai’s $11.6B Anthropic Deal Comes With $5.5B Capex</t>
  </si>
  <si>
    <t>Published September 25, 2026 · 6:49 PM EDT</t>
  </si>
  <si>
    <t>https://www.techi.com/nvidia-vs-palantir-stock-better-buy-now/</t>
  </si>
  <si>
    <t>Nvidia vs Palantir Stock: Which Is the Better Buy Now?</t>
  </si>
  <si>
    <t>Published September 25, 2026 · 5:59 PM EDT</t>
  </si>
  <si>
    <t>https://www.techi.com/microsoft-copilot-home-code-autopilot-billing/</t>
  </si>
  <si>
    <t>Microsoft Copilot Rebuild Adds Home, Code and Autopilot</t>
  </si>
  <si>
    <t>Published September 25, 2026 · 5:22 PM EDT</t>
  </si>
  <si>
    <t>https://www.techi.com/meta-vs-alphabet-stock-connect-valuation/</t>
  </si>
  <si>
    <t>Meta vs Alphabet Stock: 4.8-Point Split Before Connect</t>
  </si>
  <si>
    <t>Published September 23, 2026 · 5:13 PM EDT</t>
  </si>
  <si>
    <t>https://www.techi.com/palantir-stock-forecast-faa-smart-asi-contract/</t>
  </si>
  <si>
    <t>Palantir Stock Forecast: $225 Target Meets FAA Contract Reality</t>
  </si>
  <si>
    <t>Published September 23, 2026 · 12:43 PM EDT</t>
  </si>
  <si>
    <t>https://www.techi.com/future-of-ai-and-humanity-next-15-years-risks/</t>
  </si>
  <si>
    <t>The Future of AI and Humanity: What Happens Next—and What Could Go Wrong</t>
  </si>
  <si>
    <t>Published September 22, 2026 · 3:02 PM EDT</t>
  </si>
  <si>
    <t>https://www.techi.com/amd-stock-forecast-1-trillion-target-upside/</t>
  </si>
  <si>
    <t>AMD Stock Forecast After $1 Trillion: The Easy Upside Is Gone</t>
  </si>
  <si>
    <t>Published September 22, 2026 · 2:13 PM EDT</t>
  </si>
  <si>
    <t>https://www.techi.com/arm-stock-forecast-17-percent-rally-target-gap/</t>
  </si>
  <si>
    <t>ARM Stock Forecast After a 17% Rally: The Target Gap Is the Risk</t>
  </si>
  <si>
    <t>Published September 22, 2026 · 6:22 AM EDT</t>
  </si>
  <si>
    <t>https://www.techi.com/grok-4-7-price-benchmarks-agent-cost/</t>
  </si>
  <si>
    <t>Grok 4.7 Is Cheap. Its Real Cost Depends on How Many Steps It Takes</t>
  </si>
  <si>
    <t>Published September 22, 2026 · 2:19 AM EDT</t>
  </si>
  <si>
    <t>https://www.techi.com/claude-leads-anthropic-ai-rd-recursive-ai/</t>
  </si>
  <si>
    <t>Claude Leads 26% of Anthropic’s AI R&amp;D. Is Recursive AI Starting?</t>
  </si>
  <si>
    <t>Qaiser Sultan</t>
  </si>
  <si>
    <t>Published September 21, 2026 · 7:10 PM EDT</t>
  </si>
  <si>
    <t>https://www.techi.com/meta-stock-jumps-muse-ai-downloads-rally/</t>
  </si>
  <si>
    <t>Why Meta Stock Jumped 11% on Muse AI — Is the Rally Priced In?</t>
  </si>
  <si>
    <t>Published September 21, 2026 · 5:27 PM EDT</t>
  </si>
  <si>
    <t>https://www.techi.com/amazon-blocks-meta-muse-ai-shopping-agent/</t>
  </si>
  <si>
    <t>Amazon Blocks Meta’s Muse AI Agent From Shopping on Its Store</t>
  </si>
  <si>
    <t>Layloma Rashid</t>
  </si>
  <si>
    <t>Published September 21, 2026 · 10:57 AM EDT</t>
  </si>
  <si>
    <t>https://www.techi.com/micron-mu-stock-forecast-october-2026-margin-floor/</t>
  </si>
  <si>
    <t>Micron stock forecast: 2.05% retreat tests October upside</t>
  </si>
  <si>
    <t>Published October 3, 2026 · 4:30 PM EDT</t>
  </si>
  <si>
    <t>https://www.techi.com/tesla-vs-rivian-stock-q3-2026-deliveries-earnings-tests/</t>
  </si>
  <si>
    <t>Tesla vs Rivian stock: Q3 beat, storage miss and Q4 hurdle</t>
  </si>
  <si>
    <t>Published October 3, 2026 · 2:38 PM EDT</t>
  </si>
  <si>
    <t>https://www.techi.com/amazon-stock-forecast-october-2026-prime-day-calendar/</t>
  </si>
  <si>
    <t>Amazon stock forecast for October: the Prime Day calendar trap</t>
  </si>
  <si>
    <t>Muhammad Zeshan Sarwar</t>
  </si>
  <si>
    <t>Published October 2, 2026 · 7:23 PM EDT</t>
  </si>
  <si>
    <t>https://www.techi.com/meta-stock-forecast-october-2026-legal-charge-ai-spending/</t>
  </si>
  <si>
    <t>Meta stock forecast for October: $10B charge meets AI spending</t>
  </si>
  <si>
    <t>Saad Warraich</t>
  </si>
  <si>
    <t>Published October 2, 2026 · 6:26 PM EDT</t>
  </si>
  <si>
    <t>https://www.techi.com/applied-materials-amat-stock-forecast-october-2026-besi/</t>
  </si>
  <si>
    <t>Applied Materials stock forecast: Besi deal meets $10.25B guide</t>
  </si>
  <si>
    <t>Published October 2, 2026 · 6:15 AM EDT</t>
  </si>
  <si>
    <t>Guide</t>
  </si>
  <si>
    <t>https://www.techi.com/constellation-vs-vistra-stock-pjm-delay-contracts/</t>
  </si>
  <si>
    <t>Constellation vs Vistra stock: PJM delay puts contracts first</t>
  </si>
  <si>
    <t>Published October 1, 2026 · 2:13 PM EDT</t>
  </si>
  <si>
    <t>https://www.techi.com/apple-stock-iphone-18-pro-china-sales-september-2026/</t>
  </si>
  <si>
    <t>Apple stock: China’s iPhone 18 Pro surge has a catch investors should see</t>
  </si>
  <si>
    <t>Published September 30, 2026 · 5:22 PM EDT</t>
  </si>
  <si>
    <t>https://www.techi.com/tesla-stock-forecast-october-2026-deliveries-energy/</t>
  </si>
  <si>
    <t>Tesla Stock Forecast for October 2026: Deliveries vs Energy</t>
  </si>
  <si>
    <t>Published September 30, 2026 · 3:37 PM EDT</t>
  </si>
  <si>
    <t>https://www.techi.com/microstrategy-mstr-stock-forecast-october-2026-bitcoin-dilution/</t>
  </si>
  <si>
    <t>MicroStrategy (MSTR) October 2026 Forecast: Bitcoin vs Dilution</t>
  </si>
  <si>
    <t>Published September 30, 2026 · 11:23 AM EDT</t>
  </si>
  <si>
    <t>https://www.techi.com/nvidia-150-billion-buyback-nvda-stock-impact/</t>
  </si>
  <si>
    <t>Nvidia’s $150B Buyback: What It Means for NVDA Stock</t>
  </si>
  <si>
    <t>Published September 29, 2026 · 6:22 AM EDT</t>
  </si>
  <si>
    <t>https://www.techi.com/bitcoin-83k-strategy-strive-buy-underwater/</t>
  </si>
  <si>
    <t>Bitcoin at $83K Puts Strategy and Strive’s $237M Buy Underwater</t>
  </si>
  <si>
    <t>Published September 28, 2026 · 3:27 PM EDT</t>
  </si>
  <si>
    <t>https://www.techi.com/apple-stock-forecast-beats-360-aapl-valuation/</t>
  </si>
  <si>
    <t>Apple Stock Forecast After Beats 360: Is AAPL Too Expensive at $337?</t>
  </si>
  <si>
    <t>Published September 24, 2026 · 8:32 AM EDT</t>
  </si>
  <si>
    <t>https://www.techi.com/costco-vs-walmart-stock-before-cost-earnings/</t>
  </si>
  <si>
    <t>Costco vs Walmart Stock: Which Wins Before COST Earnings?</t>
  </si>
  <si>
    <t>Published September 24, 2026 · 7:16 AM EDT</t>
  </si>
  <si>
    <t>https://www.techi.com/ethereum-sepolia-glamsterdam-october-6-200m-gas-limit/</t>
  </si>
  <si>
    <t>Ethereum’s Oct. 6 Sepolia fork: why 200M gas needs a setting</t>
  </si>
  <si>
    <t>Published October 4, 2026 · 7:38 AM EDT</t>
  </si>
  <si>
    <t>https://www.techi.com/xrp-ledger-brazil-fund-deal-cloud-mining/</t>
  </si>
  <si>
    <t>XRP Ledger's Brazil Fund Deal Is Real. Cloud Mining Isn't</t>
  </si>
  <si>
    <t>Fatima Fakhar</t>
  </si>
  <si>
    <t>Published September 30, 2026 · 3:36 PM EDT</t>
  </si>
  <si>
    <t>https://www.techi.com/why-bitcoin-is-pumping-87000-bull-trap/</t>
  </si>
  <si>
    <t>Why Bitcoin Is Pumping Toward $87,000 — Is It a Bull Trap?</t>
  </si>
  <si>
    <t>Published September 21, 2026 · 4:36 PM EDT</t>
  </si>
  <si>
    <t>https://www.techi.com/bitcoin-price-84000-short-squeeze/</t>
  </si>
  <si>
    <t>Bitcoin Price Briefly Tops $84,000 as Short Squeeze Accelerates</t>
  </si>
  <si>
    <t>Published September 21, 2026 · 5:05 AM EDT</t>
  </si>
  <si>
    <t>https://www.techi.com/coinbase-vs-robinhood-stock-bitcoin-weekend/</t>
  </si>
  <si>
    <t>Coinbase vs. Robinhood Stock: Which Is Better as Bitcoin Slips?</t>
  </si>
  <si>
    <t>Published September 20, 2026 · 6:23 AM EDT</t>
  </si>
  <si>
    <t>https://www.techi.com/xrp-price-falls-clarity-act-senate-vote-crypto-selloff/</t>
  </si>
  <si>
    <t>XRP falls three times as hard as bitcoin after the Senate blocks the CLARITY Act</t>
  </si>
  <si>
    <t>Published September 15, 2026 · 9:26 PM EDT</t>
  </si>
  <si>
    <t>https://www.techi.com/coinbase-circle-stock-fall-clarity-act-fails-stablecoin-rates/</t>
  </si>
  <si>
    <t>Coinbase and Circle fall 10% as CLARITY Act fails. Their stablecoin income runs on rates</t>
  </si>
  <si>
    <t>Published September 15, 2026 · 6:43 PM EDT</t>
  </si>
  <si>
    <t>https://www.techi.com/clarity-act-senate-cloture-vote-trump-ethics-bernstein/</t>
  </si>
  <si>
    <t>CLARITY Act gets Trump's ethics deal and a Tuesday vote. Bernstein: a pass isn't priced in</t>
  </si>
  <si>
    <t>Nouman S. Ghumman</t>
  </si>
  <si>
    <t>Published September 14, 2026 · 7:31 AM EDT</t>
  </si>
  <si>
    <t>https://www.techi.com/eth-futures-ethereum-future-treasury-yield/</t>
  </si>
  <si>
    <t>What ETH futures say about Ethereum's future: a Treasury-bill rate</t>
  </si>
  <si>
    <t>Published September 12, 2026 · 9:44 PM EDT</t>
  </si>
  <si>
    <t>https://www.techi.com/zcash-zec-price-rally-nu7-supply-vote/</t>
  </si>
  <si>
    <t>Zcash (ZEC) rally meets NU7 vote on future coin issuance</t>
  </si>
  <si>
    <t>Published September 11, 2026 · 6:00 PM EDT</t>
  </si>
  <si>
    <t>https://www.techi.com/bitcoin-golden-cross-fed-rate-hike/</t>
  </si>
  <si>
    <t>Bitcoin’s golden cross faces Fed rate-hike risk</t>
  </si>
  <si>
    <t>Published September 11, 2026 · 5:30 PM EDT</t>
  </si>
  <si>
    <t>https://www.techi.com/ether-price-first-half-2026/</t>
  </si>
  <si>
    <t>Reading the Ether Price After a Brutal First Half of 2026</t>
  </si>
  <si>
    <t>Published August 19, 2026 · 1:03 PM EDT</t>
  </si>
  <si>
    <t>https://www.techi.com/us-sanctions-shelbit-aban-tether-iran-crypto/</t>
  </si>
  <si>
    <t>US sanctions two crypto exchanges over Iran-linked money flows</t>
  </si>
  <si>
    <t>Published August 9, 2026 · 2:17 PM EDT</t>
  </si>
  <si>
    <t>https://www.techi.com/akash-akt-ai-compute-value-capture/</t>
  </si>
  <si>
    <t>Akash Runs Real AI Compute. AKT Can't Prove It Captures the Value.</t>
  </si>
  <si>
    <t>Published July 24, 2026 · 1:25 PM EDT</t>
  </si>
  <si>
    <t>https://www.techi.com/spot-tao-etf-bittensor-subnet-exposure-gap/</t>
  </si>
  <si>
    <t>Grayscale's TAO ETF Can't Stake — Its Own Filing Says So</t>
  </si>
  <si>
    <t>Published July 23, 2026 · 6:39 PM EDT</t>
  </si>
  <si>
    <t>https://www.techi.com/coinbase-x402-agent-payments-merchant-side/</t>
  </si>
  <si>
    <t>Coinbase Let Agents Pay Merchants. The Ledger Says Go Slow</t>
  </si>
  <si>
    <t>Published July 23, 2026 · 4:37 PM EDT</t>
  </si>
  <si>
    <t>https://www.techi.com/strategy-mstr-stock-sales-no-bitcoin-july-2026/</t>
  </si>
  <si>
    <t>Strategy Raises $466.7M From MSTR Stock, Buys No Bitcoin</t>
  </si>
  <si>
    <t>Published July 13, 2026 · 9:26 AM EDT</t>
  </si>
  <si>
    <t>https://www.techi.com/spacex-ussf-385-launch-today-classified-mission/</t>
  </si>
  <si>
    <t>SpaceX USSF-385 Launch Today: What’s Confirmed About the Secret Mission</t>
  </si>
  <si>
    <t>Published September 26, 2026 · 7:09 AM EDT</t>
  </si>
  <si>
    <t>https://www.techi.com/ionq-stock-nvidia-quantum-deal-rally-fades/</t>
  </si>
  <si>
    <t>IONQ Stock Jumps on Nvidia Deal, Then Gives Back Most Gains</t>
  </si>
  <si>
    <t>Published September 23, 2026 · 6:48 PM EDT</t>
  </si>
  <si>
    <t>https://www.techi.com/nvidia-stock-einride-autonomous-trucking-hyperion/</t>
  </si>
  <si>
    <t>Nvidia Stock Gets a Fresh Autonomous Trucking Catalyst From Einride</t>
  </si>
  <si>
    <t>Naba Fatima</t>
  </si>
  <si>
    <t>Published September 21, 2026 · 8:17 AM EDT</t>
  </si>
  <si>
    <t>https://www.techi.com/tesla-robotaxi-productive-hours-tsla-valuation/</t>
  </si>
  <si>
    <t>Tesla Robotaxi’s Missing KPI Could Decide TSLA’s Valuation</t>
  </si>
  <si>
    <t>Published September 20, 2026 · 9:28 AM EDT</t>
  </si>
  <si>
    <t>https://www.techi.com/ai-chip-materials-synthesis-bottleneck/</t>
  </si>
  <si>
    <t>AI agents logged 526 chip-material candidates. One recipe passed the screen</t>
  </si>
  <si>
    <t>Published August 10, 2026 · 11:41 AM EDT</t>
  </si>
  <si>
    <t>https://www.techi.com/supernatural-vr-fitness-reboot-3000-workouts/</t>
  </si>
  <si>
    <t>Supernatural’s VR fitness reboot aims to restore 3,000 workouts</t>
  </si>
  <si>
    <t>Published August 9, 2026 · 3:18 PM EDT</t>
  </si>
  <si>
    <t>https://www.techi.com/ai-camouflage-surveillance-camera-test-proof/</t>
  </si>
  <si>
    <t>AI camouflage reportedly passed one camera test. Proof is still thin</t>
  </si>
  <si>
    <t>Published August 9, 2026 · 1:11 PM EDT</t>
  </si>
  <si>
    <t>https://www.techi.com/firebird-armenia-ai-factory-300mw-roadmap/</t>
  </si>
  <si>
    <t>Firebird's Armenia AI factory is live. The 300 MW promise is not</t>
  </si>
  <si>
    <t>Published August 9, 2026 · 2:27 AM EDT</t>
  </si>
  <si>
    <t>https://www.techi.com/microsoft-mistral-europe-gpu-compute-supply/</t>
  </si>
  <si>
    <t>Microsoft Is Now Buying Mistral's Compute, Not Selling It</t>
  </si>
  <si>
    <t>Published July 25, 2026 · 5:57 PM EDT</t>
  </si>
  <si>
    <t>https://www.techi.com/korea-sovereign-ai-factory-naver-nvidia-financing/</t>
  </si>
  <si>
    <t>Korea's sovereign AI factory is really a $10B financing story</t>
  </si>
  <si>
    <t>Published July 25, 2026 · 12:57 PM EDT</t>
  </si>
  <si>
    <t>https://www.techi.com/flux-3-multimodal-image-video-audio-action/</t>
  </si>
  <si>
    <t>Black Forest Labs' FLUX 3 Folds Robotics Into One AI Model</t>
  </si>
  <si>
    <t>Published July 25, 2026 · 7:46 AM EDT</t>
  </si>
  <si>
    <t>https://www.techi.com/google-ironwood-tpu-no-public-price/</t>
  </si>
  <si>
    <t>Google's Ironwood TPU Still Has No Public Price, Three Months After Launch</t>
  </si>
  <si>
    <t>Published July 24, 2026 · 7:55 AM EDT</t>
  </si>
  <si>
    <t>https://www.techi.com/z-ai-gigawatt-chinese-chips-data-center/</t>
  </si>
  <si>
    <t>Z.ai built a gigawatt of AI compute with no Nvidia inside</t>
  </si>
  <si>
    <t>Published July 24, 2026 · 5:58 AM EDT</t>
  </si>
  <si>
    <t>https://www.techi.com/amd-cerebras-disaggregated-inference-5x-claim/</t>
  </si>
  <si>
    <t>AMD and Cerebras Split AI Inference in Two — Read the Footnote</t>
  </si>
  <si>
    <t>Published July 23, 2026 · 5:39 PM EDT</t>
  </si>
  <si>
    <t>https://www.techi.com/amazon-trainium-20-billion-supply-contract/</t>
  </si>
  <si>
    <t>Amazon's $20B chip pace turns AI capacity into a supply contract</t>
  </si>
  <si>
    <t>Published July 23, 2026 · 2:41 PM EDT</t>
  </si>
  <si>
    <t>https://www.techi.com/llama-cpp-b10075-local-ai-agent-runtime/</t>
  </si>
  <si>
    <t>llama.cpp b10075 Packs Four Local AI Runtime Upgrades</t>
  </si>
  <si>
    <t>Published July 20, 2026 · 8:44 PM EDT</t>
  </si>
  <si>
    <t>https://www.techi.com/fenghe-open-source-weather-ai-evidence-gap/</t>
  </si>
  <si>
    <t>Fenghe Is Open Source. Its Forecasting Proof Is Not.</t>
  </si>
  <si>
    <t>Published July 18, 2026 · 7:37 PM EDT</t>
  </si>
  <si>
    <t>https://www.techi.com/crewai-1-15-3-execution-hooks-agent-control/</t>
  </si>
  <si>
    <t>CrewAI 1.15.3 Puts Control Hooks Inside AI Agent Runs</t>
  </si>
  <si>
    <t>Published July 16, 2026 · 9:34 PM EDT</t>
  </si>
  <si>
    <t>https://www.techi.com/jax-0-11-0-remat-checkpoint-policies/</t>
  </si>
  <si>
    <t>JAX 0.11.0 Makes AI Training Memory Policy Programmable</t>
  </si>
  <si>
    <t>Published July 16, 2026 · 8:33 PM EDT</t>
  </si>
  <si>
    <t>https://www.techi.com/asml-high-na-euv-intel-18a-ai-chip-readiness/</t>
  </si>
  <si>
    <t>ASML’s High-NA Milestone Is an AI-Chip Bridge</t>
  </si>
  <si>
    <t>Published July 15, 2026 · 6:26 PM EDT</t>
  </si>
  <si>
    <t>https://www.techi.com/trump-xi-ai-alert-plan-asian-chip-stocks-rally/</t>
  </si>
  <si>
    <t>Trump-Xi AI Alert Plan Lands as Asian Chip Stocks Rally</t>
  </si>
  <si>
    <t>Published September 21, 2026 · 4:41 AM EDT</t>
  </si>
  <si>
    <t>https://www.techi.com/jensen-huang-ai-doomsday-nvidia-incentive/</t>
  </si>
  <si>
    <t>Jensen Huang Says AI Doomsday Warnings Are Wrong. Nvidia’s Incentive Matters</t>
  </si>
  <si>
    <t>Published September 20, 2026 · 2:59 PM EDT</t>
  </si>
  <si>
    <t>https://www.techi.com/trump-dc-arch-drones-security-plan-unclear/</t>
  </si>
  <si>
    <t>Trump Says His D.C. Arch Will House Drones. The Security Case Is Still Unclear</t>
  </si>
  <si>
    <t>Published September 20, 2026 · 2:25 PM EDT</t>
  </si>
  <si>
    <t>https://www.techi.com/amazon-prime-settlement-refund-200-eligibility-payments/</t>
  </si>
  <si>
    <t>Amazon Prime Refunds Rise to $200: Who Qualifies and When</t>
  </si>
  <si>
    <t>Published September 20, 2026 · 11:42 AM EDT</t>
  </si>
  <si>
    <t>https://www.techi.com/trump-ai-force-ai-czar-powers/</t>
  </si>
  <si>
    <t>Trump announces an AI Force. Its powers remain undefined</t>
  </si>
  <si>
    <t>Published September 19, 2026 · 4:06 PM EDT</t>
  </si>
  <si>
    <t>https://www.techi.com/social-security-cola-2027-forecast-gas-prices-3-6-percent/</t>
  </si>
  <si>
    <t>Social Security COLA 2027 forecast: September's gas spike tilts it toward 3.6%</t>
  </si>
  <si>
    <t>Published September 15, 2026 · 10:24 AM EDT</t>
  </si>
  <si>
    <t>https://www.techi.com/trump-ai-hoax-microsoft-code-of-conduct-labs-standards-body/</t>
  </si>
  <si>
    <t>Trump calls AI risk a 'hoax.' Microsoft, Google and Anthropic are writing their own rules</t>
  </si>
  <si>
    <t>Published September 14, 2026 · 7:33 PM EDT</t>
  </si>
  <si>
    <t>https://www.techi.com/ai-slowdown-no-enforcer-trump-beijing-burry/</t>
  </si>
  <si>
    <t>AI slowdown has no enforcer: Trump, China's Global Times and Michael Burry all said no</t>
  </si>
  <si>
    <t>Published September 14, 2026 · 4:04 AM EDT</t>
  </si>
  <si>
    <t>https://www.techi.com/tesla-cybercab-nhtsa-self-certification-audit/</t>
  </si>
  <si>
    <t>NHTSA audits Tesla Cybercab’s safety certification after Austin launch</t>
  </si>
  <si>
    <t>Published September 12, 2026 · 4:07 AM EDT</t>
  </si>
  <si>
    <t>https://www.techi.com/openai-agents-rubygems-attack-hugging-face/</t>
  </si>
  <si>
    <t>Researchers link OpenAI agents to RubyGems attack in May</t>
  </si>
  <si>
    <t>Published September 11, 2026 · 7:45 PM EDT</t>
  </si>
  <si>
    <t>https://www.techi.com/meta-29-state-trial-advisory-jury-remedy-risk/</t>
  </si>
  <si>
    <t>The Meta trial's real risk isn't the $1.4 trillion. It's the judge</t>
  </si>
  <si>
    <t>Published August 19, 2026 · 4:04 PM EDT</t>
  </si>
  <si>
    <t>https://www.techi.com/nvidia-h200-china-shipments-below-licence-ceiling/</t>
  </si>
  <si>
    <t>Nvidia's H200s are flowing to China again, at 13% of the legal limit</t>
  </si>
  <si>
    <t>Published August 19, 2026 · 3:07 PM EDT</t>
  </si>
  <si>
    <t>https://www.techi.com/data-center-cost-by-country/</t>
  </si>
  <si>
    <t>How much does a data center cost? USA, EU, UAE, India and Pakistan compared</t>
  </si>
  <si>
    <t>Published September 13, 2026 · 1:24 AM EDT</t>
  </si>
  <si>
    <t>https://www.techi.com/claude-code-auto-mode-default-11-percent-miss-rate/</t>
  </si>
  <si>
    <t>Claude Code will default to auto mode despite an 11% test miss rate</t>
  </si>
  <si>
    <t>Published August 9, 2026 · 11:54 AM EDT</t>
  </si>
  <si>
    <t>https://www.techi.com/meta-ai-email-calendar-agent-permissions/</t>
  </si>
  <si>
    <t>What Meta AI’s Email and Calendar Agent Actually Changes</t>
  </si>
  <si>
    <t>Published July 27, 2026 · 2:00 AM EDT</t>
  </si>
  <si>
    <t>https://www.techi.com/deepseek-chat-reasoner-retirement-v4-migration/</t>
  </si>
  <si>
    <t>DeepSeek's legacy model names retire today, and the easy fix has a catch</t>
  </si>
  <si>
    <t>Published July 24, 2026 · 3:04 AM EDT</t>
  </si>
  <si>
    <t>https://www.techi.com/openai-presence-enterprise-agents-buyer-checklist/</t>
  </si>
  <si>
    <t>OpenAI Presence sells trusted agents. Here is the buyer's checklist</t>
  </si>
  <si>
    <t>Published July 23, 2026 · 3:02 PM EDT</t>
  </si>
  <si>
    <t>https://www.techi.com/harness-agent-dlc-ai-release-governance/</t>
  </si>
  <si>
    <t>Harness Agent DLC Puts AI Releases Under One Change Record</t>
  </si>
  <si>
    <t>Ayesha Riaz</t>
  </si>
  <si>
    <t>Published July 21, 2026 · 1:44 PM EDT</t>
  </si>
  <si>
    <t>https://www.techi.com/claude-code-update-agent-permissions-worktree-isolation/</t>
  </si>
  <si>
    <t>Claude Code 2.1.216 Tests Whether Agent Permissions Survive the Handoff</t>
  </si>
  <si>
    <t>Published July 20, 2026 · 7:26 PM EDT</t>
  </si>
  <si>
    <t>https://www.techi.com/cline-cli-3-0-45-ai-agent-install-size/</t>
  </si>
  <si>
    <t>Cline CLI 3.0.45 cuts install footprint by unbundling AI providers</t>
  </si>
  <si>
    <t>Published July 19, 2026 · 12:55 AM EDT</t>
  </si>
  <si>
    <t>https://www.techi.com/xinference-3-default-auth-air-gapped-ai-serving/</t>
  </si>
  <si>
    <t>Xinference 3.0's Biggest AI Upgrade Is a 401 Error</t>
  </si>
  <si>
    <t>Published July 18, 2026 · 11:54 PM EDT</t>
  </si>
  <si>
    <t>https://www.techi.com/grok-bedrock-portability-retention-regions/</t>
  </si>
  <si>
    <t>Grok on Amazon Bedrock Has an Enterprise Portability Catch</t>
  </si>
  <si>
    <t>Published July 16, 2026 · 6:35 PM EDT</t>
  </si>
  <si>
    <t>https://www.techi.com/llama-cpp-intel-battlemage-flash-attention-benchmark/</t>
  </si>
  <si>
    <t>llama.cpp's 4.26× Intel Gain Has a Narrow Catch</t>
  </si>
  <si>
    <t>Published July 15, 2026 · 6:13 AM EDT</t>
  </si>
  <si>
    <t>https://www.techi.com/google-qwen3-5-ironwood-software-codesign-speedup/</t>
  </si>
  <si>
    <t>Qwen3.5 on Ironwood: What Google’s 4.7x Gain Proves</t>
  </si>
  <si>
    <t>Published July 14, 2026 · 11:35 PM EDT</t>
  </si>
  <si>
    <t>https://www.techi.com/nsa-router-security-checklist-enterprise-networks/</t>
  </si>
  <si>
    <t>NSA Router Security Checklist for Enterprise Networks</t>
  </si>
  <si>
    <t>Published July 13, 2026 · 1:12 PM EDT</t>
  </si>
  <si>
    <t>https://www.techi.com/what-is-an-ma-advisory/</t>
  </si>
  <si>
    <t>What Is an M&amp;A Advisory?</t>
  </si>
  <si>
    <t>Published June 30, 2026 · 10:30 AM EDT</t>
  </si>
  <si>
    <t>https://www.techi.com/best-ai-security-platforms-enterprise/</t>
  </si>
  <si>
    <t>Best AI Security Platforms for Enterprise in 2026</t>
  </si>
  <si>
    <t>Published June 30, 2026 · 8:01 AM EDT</t>
  </si>
  <si>
    <t>https://www.techi.com/grok-build-xai-coding-agent/</t>
  </si>
  <si>
    <t>Grok Build turns xAI into an AI coding-agent contender</t>
  </si>
  <si>
    <t>Published May 25, 2026 · 9:42 PM EDT</t>
  </si>
  <si>
    <t>https://www.techi.com/2026-ai-trading-bot-guide-free-stock-trading-tools/</t>
  </si>
  <si>
    <t>AI Crypto and Stock Trading Bots: A Beginner's Guide to What They Do and How to Vet One</t>
  </si>
  <si>
    <t>Nimra Fayyaz</t>
  </si>
  <si>
    <t>Published April 10, 2026 · 11:55 AM EDT</t>
  </si>
  <si>
    <t>How-to</t>
  </si>
  <si>
    <t>https://www.techi.com/ai-jobs-career-ladder-tech-intelligence/</t>
  </si>
  <si>
    <t>AI’s Real Job Shock Is the Missing Rung</t>
  </si>
  <si>
    <t>Published May 9, 2026 · 1:47 AM EDT</t>
  </si>
  <si>
    <t>Total Articles</t>
  </si>
  <si>
    <t>Names a Company</t>
  </si>
  <si>
    <t>Contains a Number</t>
  </si>
  <si>
    <t>Assessment Note</t>
  </si>
  <si>
    <t>Evidence / Check</t>
  </si>
  <si>
    <t>Status</t>
  </si>
  <si>
    <t>What This Means</t>
  </si>
  <si>
    <t>Second AI writer joined Sep 2025</t>
  </si>
  <si>
    <t>The current 20-article AI sample shows multiple authors, but it is a current snapshot and does not provide historical author counts for Sep 2025.</t>
  </si>
  <si>
    <t>Cannot verify</t>
  </si>
  <si>
    <t>Part 1 does not provide enough historical evidence to confirm when a second AI writer joined.</t>
  </si>
  <si>
    <t>Crypto explainer reached a major aggregator front page for 36 hours in Nov 2025</t>
  </si>
  <si>
    <t>Crypto sessions rose from 10,100 in Oct to 24,800 in Nov, then fell to 11,000 in Dec.</t>
  </si>
  <si>
    <t>Consistent with traffic data</t>
  </si>
  <si>
    <t>The sharp November spike and return toward the previous level support the one-off spike explanation, but the current Part 1 sample does not prove which article caused it.</t>
  </si>
  <si>
    <t>Analytics snippet was swapped site-wide on 1 Feb 2026</t>
  </si>
  <si>
    <t>Total sessions increased from 64,000 in Jan 2026 to 94,685 in Feb 2026, a 48.0% increase. All six sections also increased sharply.</t>
  </si>
  <si>
    <t>Strongly supported by traffic pattern</t>
  </si>
  <si>
    <t>The simultaneous jump across sections is consistent with a measurement change rather than a sudden increase in readers.</t>
  </si>
  <si>
    <t>Guides published almost nothing since Mar 2026</t>
  </si>
  <si>
    <t>The current 20 newest Guides rows include articles published from April through September 2026, including multiple articles in July and September.</t>
  </si>
  <si>
    <t>Ads pay per session, near zero on Guides</t>
  </si>
  <si>
    <t>Traffic data shows Guides sessions falling substantially, but no advertising revenue or session-value data is provided.</t>
  </si>
  <si>
    <t>Low Guides traffic is visible, but the financial impact of Guides cannot be quantified from the supplied data.</t>
  </si>
  <si>
    <t>Newsletter slots are priced based on subscribers</t>
  </si>
  <si>
    <t>Newsletter signups increased from 820 in Sep 2025 to 1,140 in Aug 2026, but no pricing information is provided.</t>
  </si>
  <si>
    <t>Cannot verify pricing</t>
  </si>
  <si>
    <t>The supplied data can show signup growth, but not the value or pricing of newsletter slots.</t>
  </si>
  <si>
    <t>The current Part 1 sample shows some Guides articles after March, but it does not provide complete monthly publishing counts, so the “almost nothing” claim cannot be verified.</t>
  </si>
  <si>
    <t>Approximate factor based on Jan–Feb non-Guides traffic; used as an estimate, not a proven correction.</t>
  </si>
  <si>
    <t>Non-Guides Traffic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</si>
</sst>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(&quot;$&quot;* #,##0.00_);_(&quot;$&quot;* \(#,##0.00\);_(&quot;$&quot;* &quot;-&quot;??_);_(@_)"/>
    <numFmt numFmtId="164" formatCode="0.0%"/>
    <numFmt numFmtId="165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1" xfId="0" applyBorder="1"/>
    <xf numFmtId="0" fontId="0" fillId="0" borderId="12" xfId="0" applyBorder="1"/>
    <xf numFmtId="0" fontId="0" fillId="0" borderId="12" xfId="0" applyBorder="1" applyAlignment="1">
      <alignment vertical="center" wrapText="1"/>
    </xf>
    <xf numFmtId="0" fontId="0" fillId="0" borderId="13" xfId="0" applyBorder="1"/>
    <xf numFmtId="0" fontId="0" fillId="0" borderId="14" xfId="0" applyBorder="1"/>
    <xf numFmtId="0" fontId="0" fillId="0" borderId="10" xfId="0" applyBorder="1"/>
    <xf numFmtId="0" fontId="0" fillId="0" borderId="10" xfId="0" applyBorder="1" applyAlignment="1">
      <alignment vertical="center" wrapText="1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17" fontId="0" fillId="0" borderId="12" xfId="0" applyNumberFormat="1" applyBorder="1"/>
    <xf numFmtId="164" fontId="0" fillId="0" borderId="15" xfId="42" applyNumberFormat="1" applyFont="1" applyBorder="1"/>
    <xf numFmtId="9" fontId="0" fillId="0" borderId="18" xfId="42" applyNumberFormat="1" applyFont="1" applyBorder="1"/>
    <xf numFmtId="3" fontId="0" fillId="0" borderId="10" xfId="0" applyNumberFormat="1" applyBorder="1"/>
    <xf numFmtId="0" fontId="0" fillId="0" borderId="14" xfId="0" applyBorder="1" applyAlignment="1">
      <alignment vertical="center" wrapText="1"/>
    </xf>
    <xf numFmtId="3" fontId="0" fillId="0" borderId="17" xfId="0" applyNumberFormat="1" applyBorder="1"/>
    <xf numFmtId="164" fontId="0" fillId="0" borderId="18" xfId="42" applyNumberFormat="1" applyFont="1" applyBorder="1"/>
    <xf numFmtId="16" fontId="0" fillId="0" borderId="12" xfId="0" applyNumberFormat="1" applyBorder="1"/>
    <xf numFmtId="16" fontId="0" fillId="0" borderId="13" xfId="0" applyNumberFormat="1" applyBorder="1"/>
    <xf numFmtId="165" fontId="0" fillId="0" borderId="10" xfId="0" applyNumberFormat="1" applyBorder="1"/>
    <xf numFmtId="1" fontId="0" fillId="0" borderId="10" xfId="0" applyNumberFormat="1" applyBorder="1"/>
    <xf numFmtId="10" fontId="0" fillId="0" borderId="17" xfId="42" applyNumberFormat="1" applyFont="1" applyBorder="1"/>
    <xf numFmtId="0" fontId="16" fillId="0" borderId="11" xfId="0" applyFont="1" applyBorder="1" applyAlignment="1">
      <alignment horizontal="center" vertical="center" wrapText="1"/>
    </xf>
    <xf numFmtId="1" fontId="0" fillId="0" borderId="15" xfId="43" applyNumberFormat="1" applyFont="1" applyBorder="1"/>
    <xf numFmtId="17" fontId="0" fillId="0" borderId="13" xfId="0" applyNumberFormat="1" applyBorder="1"/>
    <xf numFmtId="17" fontId="0" fillId="0" borderId="14" xfId="0" applyNumberFormat="1" applyBorder="1"/>
    <xf numFmtId="17" fontId="0" fillId="0" borderId="16" xfId="0" applyNumberFormat="1" applyBorder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3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91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2" formatCode="mmm\-yy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Reported Total Sessions Over Time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Charts!$B$1</c:f>
              <c:strCache>
                <c:ptCount val="1"/>
                <c:pt idx="0">
                  <c:v>Total Sessions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Charts!$A$2:$A$13</c:f>
              <c:numCache>
                <c:formatCode>mmm\-yy</c:formatCode>
                <c:ptCount val="12"/>
                <c:pt idx="0">
                  <c:v>45901</c:v>
                </c:pt>
                <c:pt idx="1">
                  <c:v>45931</c:v>
                </c:pt>
                <c:pt idx="2">
                  <c:v>45962</c:v>
                </c:pt>
                <c:pt idx="3">
                  <c:v>45992</c:v>
                </c:pt>
                <c:pt idx="4">
                  <c:v>46023</c:v>
                </c:pt>
                <c:pt idx="5">
                  <c:v>46054</c:v>
                </c:pt>
                <c:pt idx="6">
                  <c:v>46082</c:v>
                </c:pt>
                <c:pt idx="7">
                  <c:v>46113</c:v>
                </c:pt>
                <c:pt idx="8">
                  <c:v>46143</c:v>
                </c:pt>
                <c:pt idx="9">
                  <c:v>46174</c:v>
                </c:pt>
                <c:pt idx="10">
                  <c:v>46204</c:v>
                </c:pt>
                <c:pt idx="11">
                  <c:v>46235</c:v>
                </c:pt>
              </c:numCache>
            </c:numRef>
          </c:cat>
          <c:val>
            <c:numRef>
              <c:f>Charts!$B$2:$B$13</c:f>
              <c:numCache>
                <c:formatCode>General</c:formatCode>
                <c:ptCount val="12"/>
                <c:pt idx="0">
                  <c:v>57500</c:v>
                </c:pt>
                <c:pt idx="1">
                  <c:v>59000</c:v>
                </c:pt>
                <c:pt idx="2">
                  <c:v>75000</c:v>
                </c:pt>
                <c:pt idx="3">
                  <c:v>62400</c:v>
                </c:pt>
                <c:pt idx="4">
                  <c:v>64000</c:v>
                </c:pt>
                <c:pt idx="5">
                  <c:v>94685</c:v>
                </c:pt>
                <c:pt idx="6">
                  <c:v>96570</c:v>
                </c:pt>
                <c:pt idx="7">
                  <c:v>95845</c:v>
                </c:pt>
                <c:pt idx="8">
                  <c:v>97440</c:v>
                </c:pt>
                <c:pt idx="9">
                  <c:v>99035</c:v>
                </c:pt>
                <c:pt idx="10">
                  <c:v>100920</c:v>
                </c:pt>
                <c:pt idx="11">
                  <c:v>102805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57-479D-B7D8-7F658D117C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14262079"/>
        <c:axId val="914257503"/>
      </c:lineChart>
      <c:dateAx>
        <c:axId val="91426207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4257503"/>
        <c:crosses val="autoZero"/>
        <c:auto val="1"/>
        <c:lblOffset val="100"/>
        <c:baseTimeUnit val="months"/>
      </c:dateAx>
      <c:valAx>
        <c:axId val="914257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42620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25400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Sessions by Section: Jan vs Feb 2026</a:t>
            </a:r>
            <a:endParaRPr lang="en-US" b="1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Charts!$B$17</c:f>
              <c:strCache>
                <c:ptCount val="1"/>
                <c:pt idx="0">
                  <c:v>Jan-26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Charts!$A$18:$A$23</c:f>
              <c:strCache>
                <c:ptCount val="6"/>
                <c:pt idx="0">
                  <c:v>AI</c:v>
                </c:pt>
                <c:pt idx="1">
                  <c:v>Markets</c:v>
                </c:pt>
                <c:pt idx="2">
                  <c:v>Crypto</c:v>
                </c:pt>
                <c:pt idx="3">
                  <c:v>Breakthroughs</c:v>
                </c:pt>
                <c:pt idx="4">
                  <c:v>Policy</c:v>
                </c:pt>
                <c:pt idx="5">
                  <c:v>Guides</c:v>
                </c:pt>
              </c:strCache>
            </c:strRef>
          </c:cat>
          <c:val>
            <c:numRef>
              <c:f>Charts!$B$18:$B$23</c:f>
              <c:numCache>
                <c:formatCode>General</c:formatCode>
                <c:ptCount val="6"/>
                <c:pt idx="0">
                  <c:v>21200</c:v>
                </c:pt>
                <c:pt idx="1">
                  <c:v>13400</c:v>
                </c:pt>
                <c:pt idx="2">
                  <c:v>11400</c:v>
                </c:pt>
                <c:pt idx="3">
                  <c:v>8500</c:v>
                </c:pt>
                <c:pt idx="4">
                  <c:v>5800</c:v>
                </c:pt>
                <c:pt idx="5">
                  <c:v>3700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90-48D1-9F07-A4507F59AF0E}"/>
            </c:ext>
          </c:extLst>
        </c:ser>
        <c:ser>
          <c:idx val="1"/>
          <c:order val="1"/>
          <c:tx>
            <c:strRef>
              <c:f>Charts!$C$17</c:f>
              <c:strCache>
                <c:ptCount val="1"/>
                <c:pt idx="0">
                  <c:v>Feb-26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Charts!$A$18:$A$23</c:f>
              <c:strCache>
                <c:ptCount val="6"/>
                <c:pt idx="0">
                  <c:v>AI</c:v>
                </c:pt>
                <c:pt idx="1">
                  <c:v>Markets</c:v>
                </c:pt>
                <c:pt idx="2">
                  <c:v>Crypto</c:v>
                </c:pt>
                <c:pt idx="3">
                  <c:v>Breakthroughs</c:v>
                </c:pt>
                <c:pt idx="4">
                  <c:v>Policy</c:v>
                </c:pt>
                <c:pt idx="5">
                  <c:v>Guides</c:v>
                </c:pt>
              </c:strCache>
            </c:strRef>
          </c:cat>
          <c:val>
            <c:numRef>
              <c:f>Charts!$C$18:$C$23</c:f>
              <c:numCache>
                <c:formatCode>General</c:formatCode>
                <c:ptCount val="6"/>
                <c:pt idx="0">
                  <c:v>31610</c:v>
                </c:pt>
                <c:pt idx="1">
                  <c:v>19865</c:v>
                </c:pt>
                <c:pt idx="2">
                  <c:v>16820</c:v>
                </c:pt>
                <c:pt idx="3">
                  <c:v>12615</c:v>
                </c:pt>
                <c:pt idx="4">
                  <c:v>8555</c:v>
                </c:pt>
                <c:pt idx="5">
                  <c:v>5220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D90-48D1-9F07-A4507F59AF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11141919"/>
        <c:axId val="911151903"/>
      </c:barChart>
      <c:catAx>
        <c:axId val="911141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1151903"/>
        <c:crosses val="autoZero"/>
        <c:auto val="1"/>
        <c:lblAlgn val="ctr"/>
        <c:lblOffset val="100"/>
        <c:noMultiLvlLbl val="0"/>
      </c:catAx>
      <c:valAx>
        <c:axId val="911151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1141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25400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9526</xdr:colOff>
      <xdr:row>0</xdr:row>
      <xdr:rowOff>47626</xdr:rowOff>
    </xdr:from>
    <xdr:to>
      <xdr:col>11</xdr:col>
      <xdr:colOff>180976</xdr:colOff>
      <xdr:row>12</xdr:row>
      <xdr:rowOff>38100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28575</xdr:colOff>
      <xdr:row>16</xdr:row>
      <xdr:rowOff>14287</xdr:rowOff>
    </xdr:from>
    <xdr:to>
      <xdr:col>11</xdr:col>
      <xdr:colOff>333375</xdr:colOff>
      <xdr:row>30</xdr:row>
      <xdr:rowOff>90487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1:I13" totalsRowShown="0" headerRowDxfId="90" headerRowBorderDxfId="89" tableBorderDxfId="88" totalsRowBorderDxfId="87">
  <autoFilter ref="A1:I13"/>
  <tableColumns count="9">
    <tableColumn id="1" name="Month" dataDxfId="86"/>
    <tableColumn id="2" name="AI" dataDxfId="85"/>
    <tableColumn id="3" name="Markets" dataDxfId="84"/>
    <tableColumn id="4" name="Crypto" dataDxfId="83"/>
    <tableColumn id="5" name="Breakthroughs" dataDxfId="82"/>
    <tableColumn id="6" name="Policy" dataDxfId="81"/>
    <tableColumn id="7" name="Guides" dataDxfId="80"/>
    <tableColumn id="8" name="Total Sessions" dataDxfId="79">
      <calculatedColumnFormula>SUM(B2:G2)</calculatedColumnFormula>
    </tableColumn>
    <tableColumn id="9" name="Newsletter Signups" dataDxfId="7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K1:O8" totalsRowShown="0" headerRowDxfId="77" headerRowBorderDxfId="76" tableBorderDxfId="75" totalsRowBorderDxfId="74">
  <autoFilter ref="K1:O8"/>
  <tableColumns count="5">
    <tableColumn id="1" name="Section" dataDxfId="73"/>
    <tableColumn id="2" name="Jan-26" dataDxfId="72"/>
    <tableColumn id="3" name="Feb-26" dataDxfId="71"/>
    <tableColumn id="4" name="Change" dataDxfId="70">
      <calculatedColumnFormula>M2-L2</calculatedColumnFormula>
    </tableColumn>
    <tableColumn id="5" name="Change %" dataDxfId="69" dataCellStyle="Percent">
      <calculatedColumnFormula>N2/L2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K11:N14" totalsRowShown="0" headerRowDxfId="68" headerRowBorderDxfId="67" tableBorderDxfId="66" totalsRowBorderDxfId="65">
  <autoFilter ref="K11:N14"/>
  <tableColumns count="4">
    <tableColumn id="1" name="Month" dataDxfId="64"/>
    <tableColumn id="2" name="Crypto Sessions" dataDxfId="63">
      <calculatedColumnFormula>D3</calculatedColumnFormula>
    </tableColumn>
    <tableColumn id="3" name="Change vs Previous Month" dataDxfId="62">
      <calculatedColumnFormula>L12-L11</calculatedColumnFormula>
    </tableColumn>
    <tableColumn id="4" name="Change %" dataDxfId="61">
      <calculatedColumnFormula>M12/L11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K16:M22" totalsRowShown="0" headerRowDxfId="60" headerRowBorderDxfId="59" tableBorderDxfId="58" totalsRowBorderDxfId="57">
  <autoFilter ref="K16:M22"/>
  <tableColumns count="3">
    <tableColumn id="1" name="Non-Guides Traffic" dataDxfId="56"/>
    <tableColumn id="2" name="26-Jan" dataDxfId="55"/>
    <tableColumn id="3" name="26-Feb" dataDxfId="5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7" name="Table7" displayName="Table7" ref="K24:L31" totalsRowShown="0" headerRowDxfId="53" headerRowBorderDxfId="52" tableBorderDxfId="51" totalsRowBorderDxfId="50">
  <autoFilter ref="K24:L31"/>
  <tableColumns count="2">
    <tableColumn id="1" name="Guides Analysis" dataDxfId="49"/>
    <tableColumn id="2" name="Results" dataDxfId="48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8" name="Table8" displayName="Table8" ref="E23:F27" totalsRowShown="0" headerRowDxfId="47" headerRowBorderDxfId="46" tableBorderDxfId="45" totalsRowBorderDxfId="44">
  <autoFilter ref="E23:F27"/>
  <tableColumns count="2">
    <tableColumn id="1" name="NewsletterAnalysis" dataDxfId="43"/>
    <tableColumn id="2" name="Results" dataDxfId="4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10" name="Table10" displayName="Table10" ref="A1:I121" totalsRowShown="0" headerRowDxfId="41" headerRowBorderDxfId="40" tableBorderDxfId="39" totalsRowBorderDxfId="38">
  <autoFilter ref="A1:I121"/>
  <tableColumns count="9">
    <tableColumn id="1" name="url" dataDxfId="37"/>
    <tableColumn id="2" name="section" dataDxfId="36"/>
    <tableColumn id="3" name="headline" dataDxfId="35"/>
    <tableColumn id="4" name="author" dataDxfId="34"/>
    <tableColumn id="5" name="date_shown" dataDxfId="33"/>
    <tableColumn id="6" name="headline_word_count" dataDxfId="32"/>
    <tableColumn id="7" name="format" dataDxfId="31"/>
    <tableColumn id="8" name="names_a_company" dataDxfId="30"/>
    <tableColumn id="9" name="contains_a_number" dataDxfId="29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5" name="Table5" displayName="Table5" ref="A1:D7" totalsRowShown="0" headerRowDxfId="28" headerRowBorderDxfId="27" tableBorderDxfId="26" totalsRowBorderDxfId="25">
  <autoFilter ref="A1:D7"/>
  <tableColumns count="4">
    <tableColumn id="1" name="Section" dataDxfId="24"/>
    <tableColumn id="2" name="Total Articles" dataDxfId="23"/>
    <tableColumn id="3" name="Names a Company" dataDxfId="22"/>
    <tableColumn id="4" name="Contains a Number" dataDxfId="2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11" name="Table11" displayName="Table11" ref="A1:D7" totalsRowShown="0" headerRowDxfId="20" headerRowBorderDxfId="19" tableBorderDxfId="18" totalsRowBorderDxfId="17">
  <autoFilter ref="A1:D7"/>
  <tableColumns count="4">
    <tableColumn id="1" name="Assessment Note" dataDxfId="16"/>
    <tableColumn id="2" name="Evidence / Check" dataDxfId="15"/>
    <tableColumn id="3" name="Status" dataDxfId="14"/>
    <tableColumn id="4" name="What This Means" dataDxfId="13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2" name="Table12" displayName="Table12" ref="A17:C23" totalsRowShown="0" headerRowDxfId="12" headerRowBorderDxfId="11" tableBorderDxfId="10" totalsRowBorderDxfId="9">
  <autoFilter ref="A17:C23"/>
  <tableColumns count="3">
    <tableColumn id="1" name="Section" dataDxfId="8"/>
    <tableColumn id="2" name="Jan-26" dataDxfId="7"/>
    <tableColumn id="3" name="Feb-26" dataDxfId="6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3" name="Table13" displayName="Table13" ref="A1:B13" totalsRowShown="0" headerRowDxfId="5" headerRowBorderDxfId="4" tableBorderDxfId="3" totalsRowBorderDxfId="2">
  <autoFilter ref="A1:B13"/>
  <tableColumns count="2">
    <tableColumn id="1" name="Month" dataDxfId="1"/>
    <tableColumn id="2" name="Total Session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Relationship Id="rId4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selection activeCell="D21" sqref="D21"/>
    </sheetView>
  </sheetViews>
  <sheetFormatPr defaultRowHeight="15" x14ac:dyDescent="0.25"/>
  <cols>
    <col min="8" max="8" width="18.71093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18400</v>
      </c>
      <c r="C2">
        <v>12200</v>
      </c>
      <c r="D2">
        <v>9800</v>
      </c>
      <c r="E2">
        <v>7600</v>
      </c>
      <c r="F2">
        <v>5400</v>
      </c>
      <c r="G2">
        <v>4100</v>
      </c>
      <c r="H2">
        <v>820</v>
      </c>
    </row>
    <row r="3" spans="1:8" x14ac:dyDescent="0.25">
      <c r="A3" t="s">
        <v>9</v>
      </c>
      <c r="B3">
        <v>19100</v>
      </c>
      <c r="C3">
        <v>12500</v>
      </c>
      <c r="D3">
        <v>10100</v>
      </c>
      <c r="E3">
        <v>7800</v>
      </c>
      <c r="F3">
        <v>5500</v>
      </c>
      <c r="G3">
        <v>4000</v>
      </c>
      <c r="H3">
        <v>840</v>
      </c>
    </row>
    <row r="4" spans="1:8" x14ac:dyDescent="0.25">
      <c r="A4" t="s">
        <v>10</v>
      </c>
      <c r="B4">
        <v>19800</v>
      </c>
      <c r="C4">
        <v>12800</v>
      </c>
      <c r="D4">
        <v>24800</v>
      </c>
      <c r="E4">
        <v>8100</v>
      </c>
      <c r="F4">
        <v>5600</v>
      </c>
      <c r="G4">
        <v>3900</v>
      </c>
      <c r="H4">
        <v>860</v>
      </c>
    </row>
    <row r="5" spans="1:8" x14ac:dyDescent="0.25">
      <c r="A5" t="s">
        <v>11</v>
      </c>
      <c r="B5">
        <v>20500</v>
      </c>
      <c r="C5">
        <v>13100</v>
      </c>
      <c r="D5">
        <v>11000</v>
      </c>
      <c r="E5">
        <v>8300</v>
      </c>
      <c r="F5">
        <v>5700</v>
      </c>
      <c r="G5">
        <v>3800</v>
      </c>
      <c r="H5">
        <v>890</v>
      </c>
    </row>
    <row r="6" spans="1:8" x14ac:dyDescent="0.25">
      <c r="A6" t="s">
        <v>12</v>
      </c>
      <c r="B6">
        <v>21200</v>
      </c>
      <c r="C6">
        <v>13400</v>
      </c>
      <c r="D6">
        <v>11400</v>
      </c>
      <c r="E6">
        <v>8500</v>
      </c>
      <c r="F6">
        <v>5800</v>
      </c>
      <c r="G6">
        <v>3700</v>
      </c>
      <c r="H6">
        <v>920</v>
      </c>
    </row>
    <row r="7" spans="1:8" x14ac:dyDescent="0.25">
      <c r="A7" t="s">
        <v>13</v>
      </c>
      <c r="B7">
        <v>31610</v>
      </c>
      <c r="C7">
        <v>19865</v>
      </c>
      <c r="D7">
        <v>16820</v>
      </c>
      <c r="E7">
        <v>12615</v>
      </c>
      <c r="F7">
        <v>8555</v>
      </c>
      <c r="G7">
        <v>5220</v>
      </c>
      <c r="H7">
        <v>950</v>
      </c>
    </row>
    <row r="8" spans="1:8" x14ac:dyDescent="0.25">
      <c r="A8" t="s">
        <v>14</v>
      </c>
      <c r="B8">
        <v>32480</v>
      </c>
      <c r="C8">
        <v>20300</v>
      </c>
      <c r="D8">
        <v>17255</v>
      </c>
      <c r="E8">
        <v>12905</v>
      </c>
      <c r="F8">
        <v>8700</v>
      </c>
      <c r="G8">
        <v>4930</v>
      </c>
      <c r="H8">
        <v>980</v>
      </c>
    </row>
    <row r="9" spans="1:8" x14ac:dyDescent="0.25">
      <c r="A9" t="s">
        <v>15</v>
      </c>
      <c r="B9">
        <v>33350</v>
      </c>
      <c r="C9">
        <v>20735</v>
      </c>
      <c r="D9">
        <v>17545</v>
      </c>
      <c r="E9">
        <v>13195</v>
      </c>
      <c r="F9">
        <v>8845</v>
      </c>
      <c r="G9">
        <v>2175</v>
      </c>
      <c r="H9">
        <v>1010</v>
      </c>
    </row>
    <row r="10" spans="1:8" x14ac:dyDescent="0.25">
      <c r="A10" t="s">
        <v>16</v>
      </c>
      <c r="B10">
        <v>34220</v>
      </c>
      <c r="C10">
        <v>21170</v>
      </c>
      <c r="D10">
        <v>17980</v>
      </c>
      <c r="E10">
        <v>13485</v>
      </c>
      <c r="F10">
        <v>8990</v>
      </c>
      <c r="G10">
        <v>1595</v>
      </c>
      <c r="H10">
        <v>1040</v>
      </c>
    </row>
    <row r="11" spans="1:8" x14ac:dyDescent="0.25">
      <c r="A11" t="s">
        <v>17</v>
      </c>
      <c r="B11">
        <v>35090</v>
      </c>
      <c r="C11">
        <v>21605</v>
      </c>
      <c r="D11">
        <v>18270</v>
      </c>
      <c r="E11">
        <v>13775</v>
      </c>
      <c r="F11">
        <v>9135</v>
      </c>
      <c r="G11">
        <v>1160</v>
      </c>
      <c r="H11">
        <v>1070</v>
      </c>
    </row>
    <row r="12" spans="1:8" x14ac:dyDescent="0.25">
      <c r="A12" t="s">
        <v>18</v>
      </c>
      <c r="B12">
        <v>35960</v>
      </c>
      <c r="C12">
        <v>22040</v>
      </c>
      <c r="D12">
        <v>18705</v>
      </c>
      <c r="E12">
        <v>14065</v>
      </c>
      <c r="F12">
        <v>9280</v>
      </c>
      <c r="G12">
        <v>870</v>
      </c>
      <c r="H12">
        <v>1100</v>
      </c>
    </row>
    <row r="13" spans="1:8" x14ac:dyDescent="0.25">
      <c r="A13" t="s">
        <v>19</v>
      </c>
      <c r="B13">
        <v>36830</v>
      </c>
      <c r="C13">
        <v>22475</v>
      </c>
      <c r="D13">
        <v>18995</v>
      </c>
      <c r="E13">
        <v>14355</v>
      </c>
      <c r="F13">
        <v>9425</v>
      </c>
      <c r="G13">
        <v>725</v>
      </c>
      <c r="H13">
        <v>1140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/>
  </sheetViews>
  <sheetFormatPr defaultRowHeight="15" x14ac:dyDescent="0.25"/>
  <cols>
    <col min="8" max="8" width="18.71093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18400</v>
      </c>
      <c r="C2">
        <v>12200</v>
      </c>
      <c r="D2">
        <v>9800</v>
      </c>
      <c r="E2">
        <v>7600</v>
      </c>
      <c r="F2">
        <v>5400</v>
      </c>
      <c r="G2">
        <v>4100</v>
      </c>
      <c r="H2">
        <v>820</v>
      </c>
    </row>
    <row r="3" spans="1:8" x14ac:dyDescent="0.25">
      <c r="A3" t="s">
        <v>9</v>
      </c>
      <c r="B3">
        <v>19100</v>
      </c>
      <c r="C3">
        <v>12500</v>
      </c>
      <c r="D3">
        <v>10100</v>
      </c>
      <c r="E3">
        <v>7800</v>
      </c>
      <c r="F3">
        <v>5500</v>
      </c>
      <c r="G3">
        <v>4000</v>
      </c>
      <c r="H3">
        <v>840</v>
      </c>
    </row>
    <row r="4" spans="1:8" x14ac:dyDescent="0.25">
      <c r="A4" t="s">
        <v>10</v>
      </c>
      <c r="B4">
        <v>19800</v>
      </c>
      <c r="C4">
        <v>12800</v>
      </c>
      <c r="D4">
        <v>24800</v>
      </c>
      <c r="E4">
        <v>8100</v>
      </c>
      <c r="F4">
        <v>5600</v>
      </c>
      <c r="G4">
        <v>3900</v>
      </c>
      <c r="H4">
        <v>860</v>
      </c>
    </row>
    <row r="5" spans="1:8" x14ac:dyDescent="0.25">
      <c r="A5" t="s">
        <v>11</v>
      </c>
      <c r="B5">
        <v>20500</v>
      </c>
      <c r="C5">
        <v>13100</v>
      </c>
      <c r="D5">
        <v>11000</v>
      </c>
      <c r="E5">
        <v>8300</v>
      </c>
      <c r="F5">
        <v>5700</v>
      </c>
      <c r="G5">
        <v>3800</v>
      </c>
      <c r="H5">
        <v>890</v>
      </c>
    </row>
    <row r="6" spans="1:8" x14ac:dyDescent="0.25">
      <c r="A6" t="s">
        <v>12</v>
      </c>
      <c r="B6">
        <v>21200</v>
      </c>
      <c r="C6">
        <v>13400</v>
      </c>
      <c r="D6">
        <v>11400</v>
      </c>
      <c r="E6">
        <v>8500</v>
      </c>
      <c r="F6">
        <v>5800</v>
      </c>
      <c r="G6">
        <v>3700</v>
      </c>
      <c r="H6">
        <v>920</v>
      </c>
    </row>
    <row r="7" spans="1:8" x14ac:dyDescent="0.25">
      <c r="A7" t="s">
        <v>13</v>
      </c>
      <c r="B7">
        <v>31610</v>
      </c>
      <c r="C7">
        <v>19865</v>
      </c>
      <c r="D7">
        <v>16820</v>
      </c>
      <c r="E7">
        <v>12615</v>
      </c>
      <c r="F7">
        <v>8555</v>
      </c>
      <c r="G7">
        <v>5220</v>
      </c>
      <c r="H7">
        <v>950</v>
      </c>
    </row>
    <row r="8" spans="1:8" x14ac:dyDescent="0.25">
      <c r="A8" t="s">
        <v>14</v>
      </c>
      <c r="B8">
        <v>32480</v>
      </c>
      <c r="C8">
        <v>20300</v>
      </c>
      <c r="D8">
        <v>17255</v>
      </c>
      <c r="E8">
        <v>12905</v>
      </c>
      <c r="F8">
        <v>8700</v>
      </c>
      <c r="G8">
        <v>4930</v>
      </c>
      <c r="H8">
        <v>980</v>
      </c>
    </row>
    <row r="9" spans="1:8" x14ac:dyDescent="0.25">
      <c r="A9" t="s">
        <v>15</v>
      </c>
      <c r="B9">
        <v>33350</v>
      </c>
      <c r="C9">
        <v>20735</v>
      </c>
      <c r="D9">
        <v>17545</v>
      </c>
      <c r="E9">
        <v>13195</v>
      </c>
      <c r="F9">
        <v>8845</v>
      </c>
      <c r="G9">
        <v>2175</v>
      </c>
      <c r="H9">
        <v>1010</v>
      </c>
    </row>
    <row r="10" spans="1:8" x14ac:dyDescent="0.25">
      <c r="A10" t="s">
        <v>16</v>
      </c>
      <c r="B10">
        <v>34220</v>
      </c>
      <c r="C10">
        <v>21170</v>
      </c>
      <c r="D10">
        <v>17980</v>
      </c>
      <c r="E10">
        <v>13485</v>
      </c>
      <c r="F10">
        <v>8990</v>
      </c>
      <c r="G10">
        <v>1595</v>
      </c>
      <c r="H10">
        <v>1040</v>
      </c>
    </row>
    <row r="11" spans="1:8" x14ac:dyDescent="0.25">
      <c r="A11" t="s">
        <v>17</v>
      </c>
      <c r="B11">
        <v>35090</v>
      </c>
      <c r="C11">
        <v>21605</v>
      </c>
      <c r="D11">
        <v>18270</v>
      </c>
      <c r="E11">
        <v>13775</v>
      </c>
      <c r="F11">
        <v>9135</v>
      </c>
      <c r="G11">
        <v>1160</v>
      </c>
      <c r="H11">
        <v>1070</v>
      </c>
    </row>
    <row r="12" spans="1:8" x14ac:dyDescent="0.25">
      <c r="A12" t="s">
        <v>18</v>
      </c>
      <c r="B12">
        <v>35960</v>
      </c>
      <c r="C12">
        <v>22040</v>
      </c>
      <c r="D12">
        <v>18705</v>
      </c>
      <c r="E12">
        <v>14065</v>
      </c>
      <c r="F12">
        <v>9280</v>
      </c>
      <c r="G12">
        <v>870</v>
      </c>
      <c r="H12">
        <v>1100</v>
      </c>
    </row>
    <row r="13" spans="1:8" x14ac:dyDescent="0.25">
      <c r="A13" t="s">
        <v>19</v>
      </c>
      <c r="B13">
        <v>36830</v>
      </c>
      <c r="C13">
        <v>22475</v>
      </c>
      <c r="D13">
        <v>18995</v>
      </c>
      <c r="E13">
        <v>14355</v>
      </c>
      <c r="F13">
        <v>9425</v>
      </c>
      <c r="G13">
        <v>725</v>
      </c>
      <c r="H13">
        <v>1140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1"/>
  <sheetViews>
    <sheetView topLeftCell="E1" zoomScale="96" zoomScaleNormal="96" workbookViewId="0">
      <selection sqref="A1:O32"/>
    </sheetView>
  </sheetViews>
  <sheetFormatPr defaultRowHeight="15" x14ac:dyDescent="0.25"/>
  <cols>
    <col min="3" max="3" width="10.28515625" customWidth="1"/>
    <col min="5" max="5" width="23.140625" bestFit="1" customWidth="1"/>
    <col min="6" max="6" width="10.42578125" bestFit="1" customWidth="1"/>
    <col min="7" max="7" width="9.28515625" customWidth="1"/>
    <col min="8" max="8" width="15.5703125" customWidth="1"/>
    <col min="9" max="9" width="20.42578125" customWidth="1"/>
    <col min="11" max="11" width="37.5703125" bestFit="1" customWidth="1"/>
    <col min="12" max="12" width="17" customWidth="1"/>
    <col min="13" max="13" width="27.42578125" bestFit="1" customWidth="1"/>
    <col min="14" max="15" width="11.7109375" customWidth="1"/>
  </cols>
  <sheetData>
    <row r="1" spans="1:15" x14ac:dyDescent="0.25">
      <c r="A1" s="1" t="s">
        <v>20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21</v>
      </c>
      <c r="I1" s="4" t="s">
        <v>22</v>
      </c>
      <c r="K1" s="1" t="s">
        <v>23</v>
      </c>
      <c r="L1" s="12" t="s">
        <v>29</v>
      </c>
      <c r="M1" s="12" t="s">
        <v>30</v>
      </c>
      <c r="N1" s="2" t="s">
        <v>24</v>
      </c>
      <c r="O1" s="4" t="s">
        <v>25</v>
      </c>
    </row>
    <row r="2" spans="1:15" x14ac:dyDescent="0.25">
      <c r="A2" s="5" t="s">
        <v>8</v>
      </c>
      <c r="B2" s="6">
        <v>18400</v>
      </c>
      <c r="C2" s="6">
        <v>12200</v>
      </c>
      <c r="D2" s="6">
        <v>9800</v>
      </c>
      <c r="E2" s="6">
        <v>7600</v>
      </c>
      <c r="F2" s="6">
        <v>5400</v>
      </c>
      <c r="G2" s="7">
        <v>4100</v>
      </c>
      <c r="H2" s="6">
        <f t="shared" ref="H2:H13" si="0">SUM(B2:G2)</f>
        <v>57500</v>
      </c>
      <c r="I2" s="8">
        <v>820</v>
      </c>
      <c r="K2" s="5" t="s">
        <v>1</v>
      </c>
      <c r="L2" s="6">
        <f>B6</f>
        <v>21200</v>
      </c>
      <c r="M2" s="6">
        <f>B7</f>
        <v>31610</v>
      </c>
      <c r="N2" s="6">
        <f t="shared" ref="N2:N8" si="1">M2-L2</f>
        <v>10410</v>
      </c>
      <c r="O2" s="13">
        <f t="shared" ref="O2:O8" si="2">N2/L2</f>
        <v>0.49103773584905658</v>
      </c>
    </row>
    <row r="3" spans="1:15" x14ac:dyDescent="0.25">
      <c r="A3" s="5" t="s">
        <v>9</v>
      </c>
      <c r="B3" s="6">
        <v>19100</v>
      </c>
      <c r="C3" s="6">
        <v>12500</v>
      </c>
      <c r="D3" s="6">
        <v>10100</v>
      </c>
      <c r="E3" s="6">
        <v>7800</v>
      </c>
      <c r="F3" s="6">
        <v>5500</v>
      </c>
      <c r="G3" s="6">
        <v>4000</v>
      </c>
      <c r="H3" s="6">
        <f t="shared" si="0"/>
        <v>59000</v>
      </c>
      <c r="I3" s="8">
        <v>840</v>
      </c>
      <c r="K3" s="5" t="s">
        <v>2</v>
      </c>
      <c r="L3" s="6">
        <f>C6</f>
        <v>13400</v>
      </c>
      <c r="M3" s="6">
        <f>C7</f>
        <v>19865</v>
      </c>
      <c r="N3" s="6">
        <f t="shared" si="1"/>
        <v>6465</v>
      </c>
      <c r="O3" s="13">
        <f t="shared" si="2"/>
        <v>0.48246268656716418</v>
      </c>
    </row>
    <row r="4" spans="1:15" x14ac:dyDescent="0.25">
      <c r="A4" s="5" t="s">
        <v>10</v>
      </c>
      <c r="B4" s="6">
        <v>19800</v>
      </c>
      <c r="C4" s="6">
        <v>12800</v>
      </c>
      <c r="D4" s="6">
        <v>24800</v>
      </c>
      <c r="E4" s="6">
        <v>8100</v>
      </c>
      <c r="F4" s="6">
        <v>5600</v>
      </c>
      <c r="G4" s="6">
        <v>3900</v>
      </c>
      <c r="H4" s="6">
        <f t="shared" si="0"/>
        <v>75000</v>
      </c>
      <c r="I4" s="8">
        <v>860</v>
      </c>
      <c r="K4" s="5" t="s">
        <v>3</v>
      </c>
      <c r="L4" s="6">
        <f>D6</f>
        <v>11400</v>
      </c>
      <c r="M4" s="6">
        <f>D7</f>
        <v>16820</v>
      </c>
      <c r="N4" s="6">
        <f t="shared" si="1"/>
        <v>5420</v>
      </c>
      <c r="O4" s="13">
        <f t="shared" si="2"/>
        <v>0.47543859649122805</v>
      </c>
    </row>
    <row r="5" spans="1:15" x14ac:dyDescent="0.25">
      <c r="A5" s="5" t="s">
        <v>11</v>
      </c>
      <c r="B5" s="6">
        <v>20500</v>
      </c>
      <c r="C5" s="6">
        <v>13100</v>
      </c>
      <c r="D5" s="6">
        <v>11000</v>
      </c>
      <c r="E5" s="6">
        <v>8300</v>
      </c>
      <c r="F5" s="6">
        <v>5700</v>
      </c>
      <c r="G5" s="6">
        <v>3800</v>
      </c>
      <c r="H5" s="6">
        <f t="shared" si="0"/>
        <v>62400</v>
      </c>
      <c r="I5" s="8">
        <v>890</v>
      </c>
      <c r="K5" s="5" t="s">
        <v>4</v>
      </c>
      <c r="L5" s="6">
        <f>E6</f>
        <v>8500</v>
      </c>
      <c r="M5" s="6">
        <f>E7</f>
        <v>12615</v>
      </c>
      <c r="N5" s="6">
        <f t="shared" si="1"/>
        <v>4115</v>
      </c>
      <c r="O5" s="13">
        <f t="shared" si="2"/>
        <v>0.48411764705882354</v>
      </c>
    </row>
    <row r="6" spans="1:15" x14ac:dyDescent="0.25">
      <c r="A6" s="5" t="s">
        <v>12</v>
      </c>
      <c r="B6" s="6">
        <v>21200</v>
      </c>
      <c r="C6" s="6">
        <v>13400</v>
      </c>
      <c r="D6" s="6">
        <v>11400</v>
      </c>
      <c r="E6" s="6">
        <v>8500</v>
      </c>
      <c r="F6" s="6">
        <v>5800</v>
      </c>
      <c r="G6" s="6">
        <v>3700</v>
      </c>
      <c r="H6" s="6">
        <f t="shared" si="0"/>
        <v>64000</v>
      </c>
      <c r="I6" s="8">
        <v>920</v>
      </c>
      <c r="K6" s="5" t="s">
        <v>5</v>
      </c>
      <c r="L6" s="6">
        <f>F6</f>
        <v>5800</v>
      </c>
      <c r="M6" s="6">
        <f>F7</f>
        <v>8555</v>
      </c>
      <c r="N6" s="6">
        <f t="shared" si="1"/>
        <v>2755</v>
      </c>
      <c r="O6" s="13">
        <f t="shared" si="2"/>
        <v>0.47499999999999998</v>
      </c>
    </row>
    <row r="7" spans="1:15" x14ac:dyDescent="0.25">
      <c r="A7" s="5" t="s">
        <v>13</v>
      </c>
      <c r="B7" s="6">
        <v>31610</v>
      </c>
      <c r="C7" s="6">
        <v>19865</v>
      </c>
      <c r="D7" s="6">
        <v>16820</v>
      </c>
      <c r="E7" s="6">
        <v>12615</v>
      </c>
      <c r="F7" s="6">
        <v>8555</v>
      </c>
      <c r="G7" s="6">
        <v>5220</v>
      </c>
      <c r="H7" s="6">
        <f t="shared" si="0"/>
        <v>94685</v>
      </c>
      <c r="I7" s="8">
        <v>950</v>
      </c>
      <c r="K7" s="5" t="s">
        <v>6</v>
      </c>
      <c r="L7" s="6">
        <f>G6</f>
        <v>3700</v>
      </c>
      <c r="M7" s="6">
        <f>G7</f>
        <v>5220</v>
      </c>
      <c r="N7" s="6">
        <f t="shared" si="1"/>
        <v>1520</v>
      </c>
      <c r="O7" s="13">
        <f t="shared" si="2"/>
        <v>0.41081081081081083</v>
      </c>
    </row>
    <row r="8" spans="1:15" x14ac:dyDescent="0.25">
      <c r="A8" s="5" t="s">
        <v>14</v>
      </c>
      <c r="B8" s="6">
        <v>32480</v>
      </c>
      <c r="C8" s="6">
        <v>20300</v>
      </c>
      <c r="D8" s="6">
        <v>17255</v>
      </c>
      <c r="E8" s="6">
        <v>12905</v>
      </c>
      <c r="F8" s="6">
        <v>8700</v>
      </c>
      <c r="G8" s="6">
        <v>4930</v>
      </c>
      <c r="H8" s="6">
        <f t="shared" si="0"/>
        <v>96570</v>
      </c>
      <c r="I8" s="8">
        <v>980</v>
      </c>
      <c r="K8" s="9" t="s">
        <v>26</v>
      </c>
      <c r="L8" s="10">
        <f>H6</f>
        <v>64000</v>
      </c>
      <c r="M8" s="10">
        <f>H7</f>
        <v>94685</v>
      </c>
      <c r="N8" s="10">
        <f t="shared" si="1"/>
        <v>30685</v>
      </c>
      <c r="O8" s="14">
        <f t="shared" si="2"/>
        <v>0.47945312499999998</v>
      </c>
    </row>
    <row r="9" spans="1:15" x14ac:dyDescent="0.25">
      <c r="A9" s="5" t="s">
        <v>15</v>
      </c>
      <c r="B9" s="6">
        <v>33350</v>
      </c>
      <c r="C9" s="6">
        <v>20735</v>
      </c>
      <c r="D9" s="6">
        <v>17545</v>
      </c>
      <c r="E9" s="6">
        <v>13195</v>
      </c>
      <c r="F9" s="6">
        <v>8845</v>
      </c>
      <c r="G9" s="6">
        <v>2175</v>
      </c>
      <c r="H9" s="6">
        <f t="shared" si="0"/>
        <v>95845</v>
      </c>
      <c r="I9" s="8">
        <v>1010</v>
      </c>
    </row>
    <row r="10" spans="1:15" x14ac:dyDescent="0.25">
      <c r="A10" s="5" t="s">
        <v>16</v>
      </c>
      <c r="B10" s="6">
        <v>34220</v>
      </c>
      <c r="C10" s="6">
        <v>21170</v>
      </c>
      <c r="D10" s="6">
        <v>17980</v>
      </c>
      <c r="E10" s="6">
        <v>13485</v>
      </c>
      <c r="F10" s="6">
        <v>8990</v>
      </c>
      <c r="G10" s="6">
        <v>1595</v>
      </c>
      <c r="H10" s="6">
        <f t="shared" si="0"/>
        <v>97440</v>
      </c>
      <c r="I10" s="8">
        <v>1040</v>
      </c>
    </row>
    <row r="11" spans="1:15" x14ac:dyDescent="0.25">
      <c r="A11" s="5" t="s">
        <v>17</v>
      </c>
      <c r="B11" s="6">
        <v>35090</v>
      </c>
      <c r="C11" s="6">
        <v>21605</v>
      </c>
      <c r="D11" s="6">
        <v>18270</v>
      </c>
      <c r="E11" s="6">
        <v>13775</v>
      </c>
      <c r="F11" s="6">
        <v>9135</v>
      </c>
      <c r="G11" s="6">
        <v>1160</v>
      </c>
      <c r="H11" s="6">
        <f t="shared" si="0"/>
        <v>99035</v>
      </c>
      <c r="I11" s="8">
        <v>1070</v>
      </c>
      <c r="K11" s="1" t="s">
        <v>20</v>
      </c>
      <c r="L11" s="2" t="s">
        <v>27</v>
      </c>
      <c r="M11" s="2" t="s">
        <v>28</v>
      </c>
      <c r="N11" s="4" t="s">
        <v>25</v>
      </c>
    </row>
    <row r="12" spans="1:15" x14ac:dyDescent="0.25">
      <c r="A12" s="5" t="s">
        <v>18</v>
      </c>
      <c r="B12" s="6">
        <v>35960</v>
      </c>
      <c r="C12" s="6">
        <v>22040</v>
      </c>
      <c r="D12" s="6">
        <v>18705</v>
      </c>
      <c r="E12" s="6">
        <v>14065</v>
      </c>
      <c r="F12" s="6">
        <v>9280</v>
      </c>
      <c r="G12" s="6">
        <v>870</v>
      </c>
      <c r="H12" s="6">
        <f t="shared" si="0"/>
        <v>100920</v>
      </c>
      <c r="I12" s="8">
        <v>1100</v>
      </c>
      <c r="K12" s="5" t="s">
        <v>9</v>
      </c>
      <c r="L12" s="15">
        <f>D3</f>
        <v>10100</v>
      </c>
      <c r="M12" s="6"/>
      <c r="N12" s="8"/>
    </row>
    <row r="13" spans="1:15" x14ac:dyDescent="0.25">
      <c r="A13" s="9" t="s">
        <v>19</v>
      </c>
      <c r="B13" s="10">
        <v>36830</v>
      </c>
      <c r="C13" s="10">
        <v>22475</v>
      </c>
      <c r="D13" s="10">
        <v>18995</v>
      </c>
      <c r="E13" s="10">
        <v>14355</v>
      </c>
      <c r="F13" s="10">
        <v>9425</v>
      </c>
      <c r="G13" s="10">
        <v>725</v>
      </c>
      <c r="H13" s="10">
        <f t="shared" si="0"/>
        <v>102805</v>
      </c>
      <c r="I13" s="11">
        <v>1140</v>
      </c>
      <c r="K13" s="16" t="s">
        <v>10</v>
      </c>
      <c r="L13" s="15">
        <f>D4</f>
        <v>24800</v>
      </c>
      <c r="M13" s="15">
        <f>L13-L12</f>
        <v>14700</v>
      </c>
      <c r="N13" s="13">
        <f>M13/L12</f>
        <v>1.4554455445544554</v>
      </c>
    </row>
    <row r="14" spans="1:15" x14ac:dyDescent="0.25">
      <c r="K14" s="9" t="s">
        <v>11</v>
      </c>
      <c r="L14" s="17">
        <f>D5</f>
        <v>11000</v>
      </c>
      <c r="M14" s="17">
        <f>L14-L13</f>
        <v>-13800</v>
      </c>
      <c r="N14" s="18">
        <f>M14/L13</f>
        <v>-0.55645161290322576</v>
      </c>
    </row>
    <row r="16" spans="1:15" x14ac:dyDescent="0.25">
      <c r="K16" s="1" t="s">
        <v>407</v>
      </c>
      <c r="L16" s="19" t="s">
        <v>42</v>
      </c>
      <c r="M16" s="20" t="s">
        <v>43</v>
      </c>
    </row>
    <row r="17" spans="5:13" x14ac:dyDescent="0.25">
      <c r="K17" s="5" t="s">
        <v>31</v>
      </c>
      <c r="L17" s="6">
        <f>SUM(L2:L6)</f>
        <v>60300</v>
      </c>
      <c r="M17" s="8">
        <f>SUM(M2:M6)</f>
        <v>89465</v>
      </c>
    </row>
    <row r="18" spans="5:13" x14ac:dyDescent="0.25">
      <c r="K18" s="5" t="s">
        <v>32</v>
      </c>
      <c r="L18" s="21">
        <f>M17/L17</f>
        <v>1.4836650082918739</v>
      </c>
      <c r="M18" s="8"/>
    </row>
    <row r="19" spans="5:13" x14ac:dyDescent="0.25">
      <c r="K19" t="s">
        <v>406</v>
      </c>
      <c r="L19" s="21"/>
      <c r="M19" s="8"/>
    </row>
    <row r="20" spans="5:13" x14ac:dyDescent="0.25">
      <c r="K20" s="5" t="s">
        <v>33</v>
      </c>
      <c r="L20" s="6">
        <f>H13</f>
        <v>102805</v>
      </c>
      <c r="M20" s="8"/>
    </row>
    <row r="21" spans="5:13" x14ac:dyDescent="0.25">
      <c r="K21" s="5" t="s">
        <v>34</v>
      </c>
      <c r="L21" s="22">
        <f>L20/L18</f>
        <v>69291.247974068072</v>
      </c>
      <c r="M21" s="8"/>
    </row>
    <row r="22" spans="5:13" x14ac:dyDescent="0.25">
      <c r="K22" s="9" t="s">
        <v>35</v>
      </c>
      <c r="L22" s="23">
        <f>L21/H6-1</f>
        <v>8.2675749594813608E-2</v>
      </c>
      <c r="M22" s="11"/>
    </row>
    <row r="23" spans="5:13" x14ac:dyDescent="0.25">
      <c r="E23" s="24" t="s">
        <v>47</v>
      </c>
      <c r="F23" s="4" t="s">
        <v>44</v>
      </c>
    </row>
    <row r="24" spans="5:13" x14ac:dyDescent="0.25">
      <c r="E24" s="5" t="s">
        <v>45</v>
      </c>
      <c r="F24" s="8">
        <f>I2</f>
        <v>820</v>
      </c>
      <c r="K24" s="1" t="s">
        <v>36</v>
      </c>
      <c r="L24" s="4" t="s">
        <v>44</v>
      </c>
    </row>
    <row r="25" spans="5:13" x14ac:dyDescent="0.25">
      <c r="E25" s="5" t="s">
        <v>46</v>
      </c>
      <c r="F25" s="8">
        <f>I13</f>
        <v>1140</v>
      </c>
      <c r="K25" s="5" t="s">
        <v>37</v>
      </c>
      <c r="L25" s="8">
        <f>G6</f>
        <v>3700</v>
      </c>
    </row>
    <row r="26" spans="5:13" x14ac:dyDescent="0.25">
      <c r="E26" s="5" t="s">
        <v>24</v>
      </c>
      <c r="F26" s="25">
        <f>F25-F24</f>
        <v>320</v>
      </c>
      <c r="K26" s="5" t="s">
        <v>38</v>
      </c>
      <c r="L26" s="8">
        <f>G13</f>
        <v>725</v>
      </c>
    </row>
    <row r="27" spans="5:13" x14ac:dyDescent="0.25">
      <c r="E27" s="9" t="s">
        <v>25</v>
      </c>
      <c r="F27" s="18">
        <f>F26/F24</f>
        <v>0.3902439024390244</v>
      </c>
      <c r="K27" s="5" t="s">
        <v>24</v>
      </c>
      <c r="L27" s="8">
        <f>L26-L25</f>
        <v>-2975</v>
      </c>
    </row>
    <row r="28" spans="5:13" x14ac:dyDescent="0.25">
      <c r="K28" s="5" t="s">
        <v>25</v>
      </c>
      <c r="L28" s="13">
        <f>L27/L25</f>
        <v>-0.80405405405405406</v>
      </c>
    </row>
    <row r="29" spans="5:13" x14ac:dyDescent="0.25">
      <c r="K29" s="5" t="s">
        <v>39</v>
      </c>
      <c r="L29" s="8">
        <f>G9</f>
        <v>2175</v>
      </c>
    </row>
    <row r="30" spans="5:13" x14ac:dyDescent="0.25">
      <c r="K30" s="5" t="s">
        <v>40</v>
      </c>
      <c r="L30" s="8">
        <f>725-2175</f>
        <v>-1450</v>
      </c>
    </row>
    <row r="31" spans="5:13" x14ac:dyDescent="0.25">
      <c r="K31" s="9" t="s">
        <v>41</v>
      </c>
      <c r="L31" s="18">
        <f>(725-2175)/2175</f>
        <v>-0.66666666666666663</v>
      </c>
    </row>
  </sheetData>
  <pageMargins left="0.7" right="0.7" top="0.75" bottom="0.75" header="0.3" footer="0.3"/>
  <pageSetup orientation="portrait"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1"/>
  <sheetViews>
    <sheetView topLeftCell="B98" zoomScale="86" zoomScaleNormal="86" workbookViewId="0">
      <selection activeCell="E2" sqref="A2:I121"/>
    </sheetView>
  </sheetViews>
  <sheetFormatPr defaultRowHeight="15" x14ac:dyDescent="0.25"/>
  <cols>
    <col min="1" max="1" width="82.85546875" bestFit="1" customWidth="1"/>
    <col min="2" max="2" width="9.5703125" customWidth="1"/>
    <col min="3" max="3" width="82.5703125" bestFit="1" customWidth="1"/>
    <col min="4" max="4" width="25.140625" bestFit="1" customWidth="1"/>
    <col min="5" max="5" width="41.7109375" bestFit="1" customWidth="1"/>
    <col min="6" max="6" width="22.5703125" customWidth="1"/>
    <col min="7" max="7" width="9.140625" customWidth="1"/>
    <col min="8" max="8" width="20" customWidth="1"/>
    <col min="9" max="9" width="20.5703125" customWidth="1"/>
  </cols>
  <sheetData>
    <row r="1" spans="1:9" x14ac:dyDescent="0.25">
      <c r="A1" s="1" t="s">
        <v>48</v>
      </c>
      <c r="B1" s="2" t="s">
        <v>49</v>
      </c>
      <c r="C1" s="2" t="s">
        <v>50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  <c r="I1" s="4" t="s">
        <v>56</v>
      </c>
    </row>
    <row r="2" spans="1:9" x14ac:dyDescent="0.25">
      <c r="A2" s="5" t="s">
        <v>57</v>
      </c>
      <c r="B2" s="6" t="s">
        <v>1</v>
      </c>
      <c r="C2" s="6" t="s">
        <v>58</v>
      </c>
      <c r="D2" s="6" t="s">
        <v>59</v>
      </c>
      <c r="E2" s="6" t="s">
        <v>60</v>
      </c>
      <c r="F2" s="6">
        <v>7</v>
      </c>
      <c r="G2" s="6" t="s">
        <v>61</v>
      </c>
      <c r="H2" s="6" t="b">
        <v>0</v>
      </c>
      <c r="I2" s="8" t="b">
        <v>0</v>
      </c>
    </row>
    <row r="3" spans="1:9" x14ac:dyDescent="0.25">
      <c r="A3" s="5" t="s">
        <v>62</v>
      </c>
      <c r="B3" s="6" t="s">
        <v>1</v>
      </c>
      <c r="C3" s="6" t="s">
        <v>63</v>
      </c>
      <c r="D3" s="6" t="s">
        <v>64</v>
      </c>
      <c r="E3" s="6" t="s">
        <v>65</v>
      </c>
      <c r="F3" s="6">
        <v>9</v>
      </c>
      <c r="G3" s="6" t="s">
        <v>66</v>
      </c>
      <c r="H3" s="6" t="b">
        <v>1</v>
      </c>
      <c r="I3" s="8" t="b">
        <v>1</v>
      </c>
    </row>
    <row r="4" spans="1:9" x14ac:dyDescent="0.25">
      <c r="A4" s="5" t="s">
        <v>67</v>
      </c>
      <c r="B4" s="6" t="s">
        <v>1</v>
      </c>
      <c r="C4" s="6" t="s">
        <v>68</v>
      </c>
      <c r="D4" s="6" t="s">
        <v>64</v>
      </c>
      <c r="E4" s="6" t="s">
        <v>69</v>
      </c>
      <c r="F4" s="6">
        <v>11</v>
      </c>
      <c r="G4" s="6" t="s">
        <v>66</v>
      </c>
      <c r="H4" s="6" t="b">
        <v>1</v>
      </c>
      <c r="I4" s="8" t="b">
        <v>0</v>
      </c>
    </row>
    <row r="5" spans="1:9" x14ac:dyDescent="0.25">
      <c r="A5" s="5" t="s">
        <v>70</v>
      </c>
      <c r="B5" s="6" t="s">
        <v>1</v>
      </c>
      <c r="C5" s="6" t="s">
        <v>71</v>
      </c>
      <c r="D5" s="6" t="s">
        <v>72</v>
      </c>
      <c r="E5" s="6" t="s">
        <v>73</v>
      </c>
      <c r="F5" s="6">
        <v>9</v>
      </c>
      <c r="G5" s="6" t="s">
        <v>66</v>
      </c>
      <c r="H5" s="6" t="b">
        <v>0</v>
      </c>
      <c r="I5" s="8" t="b">
        <v>1</v>
      </c>
    </row>
    <row r="6" spans="1:9" x14ac:dyDescent="0.25">
      <c r="A6" s="5" t="s">
        <v>74</v>
      </c>
      <c r="B6" s="6" t="s">
        <v>1</v>
      </c>
      <c r="C6" s="6" t="s">
        <v>75</v>
      </c>
      <c r="D6" s="6" t="s">
        <v>76</v>
      </c>
      <c r="E6" s="6" t="s">
        <v>77</v>
      </c>
      <c r="F6" s="6">
        <v>7</v>
      </c>
      <c r="G6" s="6" t="s">
        <v>78</v>
      </c>
      <c r="H6" s="6" t="b">
        <v>1</v>
      </c>
      <c r="I6" s="8" t="b">
        <v>0</v>
      </c>
    </row>
    <row r="7" spans="1:9" x14ac:dyDescent="0.25">
      <c r="A7" s="5" t="s">
        <v>79</v>
      </c>
      <c r="B7" s="6" t="s">
        <v>1</v>
      </c>
      <c r="C7" s="6" t="s">
        <v>80</v>
      </c>
      <c r="D7" s="6" t="s">
        <v>81</v>
      </c>
      <c r="E7" s="6" t="s">
        <v>82</v>
      </c>
      <c r="F7" s="6">
        <v>11</v>
      </c>
      <c r="G7" s="6" t="s">
        <v>66</v>
      </c>
      <c r="H7" s="6" t="b">
        <v>1</v>
      </c>
      <c r="I7" s="8" t="b">
        <v>0</v>
      </c>
    </row>
    <row r="8" spans="1:9" x14ac:dyDescent="0.25">
      <c r="A8" s="5" t="s">
        <v>83</v>
      </c>
      <c r="B8" s="6" t="s">
        <v>1</v>
      </c>
      <c r="C8" s="6" t="s">
        <v>84</v>
      </c>
      <c r="D8" s="6" t="s">
        <v>76</v>
      </c>
      <c r="E8" s="6" t="s">
        <v>85</v>
      </c>
      <c r="F8" s="6">
        <v>10</v>
      </c>
      <c r="G8" s="6" t="s">
        <v>66</v>
      </c>
      <c r="H8" s="6" t="b">
        <v>1</v>
      </c>
      <c r="I8" s="8" t="b">
        <v>0</v>
      </c>
    </row>
    <row r="9" spans="1:9" x14ac:dyDescent="0.25">
      <c r="A9" s="5" t="s">
        <v>86</v>
      </c>
      <c r="B9" s="6" t="s">
        <v>1</v>
      </c>
      <c r="C9" s="6" t="s">
        <v>87</v>
      </c>
      <c r="D9" s="6" t="s">
        <v>88</v>
      </c>
      <c r="E9" s="6" t="s">
        <v>89</v>
      </c>
      <c r="F9" s="6">
        <v>11</v>
      </c>
      <c r="G9" s="6" t="s">
        <v>66</v>
      </c>
      <c r="H9" s="6" t="b">
        <v>0</v>
      </c>
      <c r="I9" s="8" t="b">
        <v>1</v>
      </c>
    </row>
    <row r="10" spans="1:9" x14ac:dyDescent="0.25">
      <c r="A10" s="5" t="s">
        <v>90</v>
      </c>
      <c r="B10" s="6" t="s">
        <v>1</v>
      </c>
      <c r="C10" s="6" t="s">
        <v>91</v>
      </c>
      <c r="D10" s="6" t="s">
        <v>88</v>
      </c>
      <c r="E10" s="6" t="s">
        <v>92</v>
      </c>
      <c r="F10" s="6">
        <v>8</v>
      </c>
      <c r="G10" s="6" t="s">
        <v>66</v>
      </c>
      <c r="H10" s="6" t="b">
        <v>1</v>
      </c>
      <c r="I10" s="8" t="b">
        <v>1</v>
      </c>
    </row>
    <row r="11" spans="1:9" x14ac:dyDescent="0.25">
      <c r="A11" s="5" t="s">
        <v>93</v>
      </c>
      <c r="B11" s="6" t="s">
        <v>1</v>
      </c>
      <c r="C11" s="6" t="s">
        <v>94</v>
      </c>
      <c r="D11" s="6" t="s">
        <v>88</v>
      </c>
      <c r="E11" s="6" t="s">
        <v>95</v>
      </c>
      <c r="F11" s="6">
        <v>10</v>
      </c>
      <c r="G11" s="6" t="s">
        <v>66</v>
      </c>
      <c r="H11" s="6" t="b">
        <v>1</v>
      </c>
      <c r="I11" s="8" t="b">
        <v>0</v>
      </c>
    </row>
    <row r="12" spans="1:9" x14ac:dyDescent="0.25">
      <c r="A12" s="5" t="s">
        <v>96</v>
      </c>
      <c r="B12" s="6" t="s">
        <v>1</v>
      </c>
      <c r="C12" s="6" t="s">
        <v>97</v>
      </c>
      <c r="D12" s="6" t="s">
        <v>76</v>
      </c>
      <c r="E12" s="6" t="s">
        <v>98</v>
      </c>
      <c r="F12" s="6">
        <v>8</v>
      </c>
      <c r="G12" s="6" t="s">
        <v>66</v>
      </c>
      <c r="H12" s="6" t="b">
        <v>1</v>
      </c>
      <c r="I12" s="8" t="b">
        <v>0</v>
      </c>
    </row>
    <row r="13" spans="1:9" x14ac:dyDescent="0.25">
      <c r="A13" s="5" t="s">
        <v>99</v>
      </c>
      <c r="B13" s="6" t="s">
        <v>1</v>
      </c>
      <c r="C13" s="6" t="s">
        <v>100</v>
      </c>
      <c r="D13" s="6" t="s">
        <v>88</v>
      </c>
      <c r="E13" s="6" t="s">
        <v>101</v>
      </c>
      <c r="F13" s="6">
        <v>8</v>
      </c>
      <c r="G13" s="6" t="s">
        <v>78</v>
      </c>
      <c r="H13" s="6" t="b">
        <v>1</v>
      </c>
      <c r="I13" s="8" t="b">
        <v>1</v>
      </c>
    </row>
    <row r="14" spans="1:9" x14ac:dyDescent="0.25">
      <c r="A14" s="5" t="s">
        <v>102</v>
      </c>
      <c r="B14" s="6" t="s">
        <v>1</v>
      </c>
      <c r="C14" s="6" t="s">
        <v>103</v>
      </c>
      <c r="D14" s="6" t="s">
        <v>76</v>
      </c>
      <c r="E14" s="6" t="s">
        <v>104</v>
      </c>
      <c r="F14" s="6">
        <v>9</v>
      </c>
      <c r="G14" s="6" t="s">
        <v>66</v>
      </c>
      <c r="H14" s="6" t="b">
        <v>1</v>
      </c>
      <c r="I14" s="8" t="b">
        <v>1</v>
      </c>
    </row>
    <row r="15" spans="1:9" x14ac:dyDescent="0.25">
      <c r="A15" s="5" t="s">
        <v>105</v>
      </c>
      <c r="B15" s="6" t="s">
        <v>1</v>
      </c>
      <c r="C15" s="6" t="s">
        <v>106</v>
      </c>
      <c r="D15" s="6" t="s">
        <v>59</v>
      </c>
      <c r="E15" s="6" t="s">
        <v>107</v>
      </c>
      <c r="F15" s="6">
        <v>13</v>
      </c>
      <c r="G15" s="6" t="s">
        <v>66</v>
      </c>
      <c r="H15" s="6" t="b">
        <v>0</v>
      </c>
      <c r="I15" s="8" t="b">
        <v>0</v>
      </c>
    </row>
    <row r="16" spans="1:9" x14ac:dyDescent="0.25">
      <c r="A16" s="5" t="s">
        <v>108</v>
      </c>
      <c r="B16" s="6" t="s">
        <v>1</v>
      </c>
      <c r="C16" s="6" t="s">
        <v>109</v>
      </c>
      <c r="D16" s="6" t="s">
        <v>88</v>
      </c>
      <c r="E16" s="6" t="s">
        <v>110</v>
      </c>
      <c r="F16" s="6">
        <v>11</v>
      </c>
      <c r="G16" s="6" t="s">
        <v>66</v>
      </c>
      <c r="H16" s="6" t="b">
        <v>1</v>
      </c>
      <c r="I16" s="8" t="b">
        <v>1</v>
      </c>
    </row>
    <row r="17" spans="1:9" x14ac:dyDescent="0.25">
      <c r="A17" s="5" t="s">
        <v>111</v>
      </c>
      <c r="B17" s="6" t="s">
        <v>1</v>
      </c>
      <c r="C17" s="6" t="s">
        <v>112</v>
      </c>
      <c r="D17" s="6" t="s">
        <v>81</v>
      </c>
      <c r="E17" s="6" t="s">
        <v>113</v>
      </c>
      <c r="F17" s="6">
        <v>13</v>
      </c>
      <c r="G17" s="6" t="s">
        <v>66</v>
      </c>
      <c r="H17" s="6" t="b">
        <v>0</v>
      </c>
      <c r="I17" s="8" t="b">
        <v>1</v>
      </c>
    </row>
    <row r="18" spans="1:9" x14ac:dyDescent="0.25">
      <c r="A18" s="5" t="s">
        <v>114</v>
      </c>
      <c r="B18" s="6" t="s">
        <v>1</v>
      </c>
      <c r="C18" s="6" t="s">
        <v>115</v>
      </c>
      <c r="D18" s="6" t="s">
        <v>76</v>
      </c>
      <c r="E18" s="6" t="s">
        <v>116</v>
      </c>
      <c r="F18" s="6">
        <v>14</v>
      </c>
      <c r="G18" s="6" t="s">
        <v>66</v>
      </c>
      <c r="H18" s="6" t="b">
        <v>0</v>
      </c>
      <c r="I18" s="8" t="b">
        <v>1</v>
      </c>
    </row>
    <row r="19" spans="1:9" x14ac:dyDescent="0.25">
      <c r="A19" s="5" t="s">
        <v>117</v>
      </c>
      <c r="B19" s="6" t="s">
        <v>1</v>
      </c>
      <c r="C19" s="6" t="s">
        <v>118</v>
      </c>
      <c r="D19" s="6" t="s">
        <v>119</v>
      </c>
      <c r="E19" s="6" t="s">
        <v>120</v>
      </c>
      <c r="F19" s="6">
        <v>11</v>
      </c>
      <c r="G19" s="6" t="s">
        <v>66</v>
      </c>
      <c r="H19" s="6" t="b">
        <v>1</v>
      </c>
      <c r="I19" s="8" t="b">
        <v>1</v>
      </c>
    </row>
    <row r="20" spans="1:9" x14ac:dyDescent="0.25">
      <c r="A20" s="5" t="s">
        <v>121</v>
      </c>
      <c r="B20" s="6" t="s">
        <v>1</v>
      </c>
      <c r="C20" s="6" t="s">
        <v>122</v>
      </c>
      <c r="D20" s="6" t="s">
        <v>81</v>
      </c>
      <c r="E20" s="6" t="s">
        <v>123</v>
      </c>
      <c r="F20" s="6">
        <v>14</v>
      </c>
      <c r="G20" s="6" t="s">
        <v>66</v>
      </c>
      <c r="H20" s="6" t="b">
        <v>1</v>
      </c>
      <c r="I20" s="8" t="b">
        <v>1</v>
      </c>
    </row>
    <row r="21" spans="1:9" x14ac:dyDescent="0.25">
      <c r="A21" s="5" t="s">
        <v>124</v>
      </c>
      <c r="B21" s="6" t="s">
        <v>1</v>
      </c>
      <c r="C21" s="6" t="s">
        <v>125</v>
      </c>
      <c r="D21" s="6" t="s">
        <v>126</v>
      </c>
      <c r="E21" s="6" t="s">
        <v>127</v>
      </c>
      <c r="F21" s="6">
        <v>11</v>
      </c>
      <c r="G21" s="6" t="s">
        <v>78</v>
      </c>
      <c r="H21" s="6" t="b">
        <v>1</v>
      </c>
      <c r="I21" s="8" t="b">
        <v>0</v>
      </c>
    </row>
    <row r="22" spans="1:9" x14ac:dyDescent="0.25">
      <c r="A22" s="5" t="s">
        <v>128</v>
      </c>
      <c r="B22" s="6" t="s">
        <v>2</v>
      </c>
      <c r="C22" s="6" t="s">
        <v>129</v>
      </c>
      <c r="D22" s="6" t="s">
        <v>64</v>
      </c>
      <c r="E22" s="6" t="s">
        <v>130</v>
      </c>
      <c r="F22" s="6">
        <v>8</v>
      </c>
      <c r="G22" s="6" t="s">
        <v>66</v>
      </c>
      <c r="H22" s="6" t="b">
        <v>1</v>
      </c>
      <c r="I22" s="8" t="b">
        <v>1</v>
      </c>
    </row>
    <row r="23" spans="1:9" x14ac:dyDescent="0.25">
      <c r="A23" s="5" t="s">
        <v>131</v>
      </c>
      <c r="B23" s="6" t="s">
        <v>2</v>
      </c>
      <c r="C23" s="6" t="s">
        <v>132</v>
      </c>
      <c r="D23" s="6" t="s">
        <v>88</v>
      </c>
      <c r="E23" s="6" t="s">
        <v>133</v>
      </c>
      <c r="F23" s="6">
        <v>11</v>
      </c>
      <c r="G23" s="6" t="s">
        <v>66</v>
      </c>
      <c r="H23" s="6" t="b">
        <v>1</v>
      </c>
      <c r="I23" s="8" t="b">
        <v>1</v>
      </c>
    </row>
    <row r="24" spans="1:9" x14ac:dyDescent="0.25">
      <c r="A24" s="5" t="s">
        <v>134</v>
      </c>
      <c r="B24" s="6" t="s">
        <v>2</v>
      </c>
      <c r="C24" s="6" t="s">
        <v>135</v>
      </c>
      <c r="D24" s="6" t="s">
        <v>136</v>
      </c>
      <c r="E24" s="6" t="s">
        <v>137</v>
      </c>
      <c r="F24" s="6">
        <v>10</v>
      </c>
      <c r="G24" s="6" t="s">
        <v>66</v>
      </c>
      <c r="H24" s="6" t="b">
        <v>1</v>
      </c>
      <c r="I24" s="8" t="b">
        <v>0</v>
      </c>
    </row>
    <row r="25" spans="1:9" x14ac:dyDescent="0.25">
      <c r="A25" s="5" t="s">
        <v>138</v>
      </c>
      <c r="B25" s="6" t="s">
        <v>2</v>
      </c>
      <c r="C25" s="6" t="s">
        <v>139</v>
      </c>
      <c r="D25" s="6" t="s">
        <v>140</v>
      </c>
      <c r="E25" s="6" t="s">
        <v>141</v>
      </c>
      <c r="F25" s="6">
        <v>10</v>
      </c>
      <c r="G25" s="6" t="s">
        <v>66</v>
      </c>
      <c r="H25" s="6" t="b">
        <v>1</v>
      </c>
      <c r="I25" s="8" t="b">
        <v>1</v>
      </c>
    </row>
    <row r="26" spans="1:9" x14ac:dyDescent="0.25">
      <c r="A26" s="5" t="s">
        <v>142</v>
      </c>
      <c r="B26" s="6" t="s">
        <v>2</v>
      </c>
      <c r="C26" s="6" t="s">
        <v>143</v>
      </c>
      <c r="D26" s="6" t="s">
        <v>136</v>
      </c>
      <c r="E26" s="6" t="s">
        <v>144</v>
      </c>
      <c r="F26" s="6">
        <v>9</v>
      </c>
      <c r="G26" s="6" t="s">
        <v>145</v>
      </c>
      <c r="H26" s="6" t="b">
        <v>0</v>
      </c>
      <c r="I26" s="8" t="b">
        <v>1</v>
      </c>
    </row>
    <row r="27" spans="1:9" x14ac:dyDescent="0.25">
      <c r="A27" s="5" t="s">
        <v>146</v>
      </c>
      <c r="B27" s="6" t="s">
        <v>2</v>
      </c>
      <c r="C27" s="6" t="s">
        <v>147</v>
      </c>
      <c r="D27" s="6" t="s">
        <v>81</v>
      </c>
      <c r="E27" s="6" t="s">
        <v>148</v>
      </c>
      <c r="F27" s="6">
        <v>9</v>
      </c>
      <c r="G27" s="6" t="s">
        <v>66</v>
      </c>
      <c r="H27" s="6" t="b">
        <v>0</v>
      </c>
      <c r="I27" s="8" t="b">
        <v>0</v>
      </c>
    </row>
    <row r="28" spans="1:9" x14ac:dyDescent="0.25">
      <c r="A28" s="5" t="s">
        <v>149</v>
      </c>
      <c r="B28" s="6" t="s">
        <v>2</v>
      </c>
      <c r="C28" s="6" t="s">
        <v>150</v>
      </c>
      <c r="D28" s="6" t="s">
        <v>88</v>
      </c>
      <c r="E28" s="6" t="s">
        <v>151</v>
      </c>
      <c r="F28" s="6">
        <v>13</v>
      </c>
      <c r="G28" s="6" t="s">
        <v>66</v>
      </c>
      <c r="H28" s="6" t="b">
        <v>1</v>
      </c>
      <c r="I28" s="8" t="b">
        <v>1</v>
      </c>
    </row>
    <row r="29" spans="1:9" x14ac:dyDescent="0.25">
      <c r="A29" s="5" t="s">
        <v>152</v>
      </c>
      <c r="B29" s="6" t="s">
        <v>2</v>
      </c>
      <c r="C29" s="6" t="s">
        <v>153</v>
      </c>
      <c r="D29" s="6" t="s">
        <v>81</v>
      </c>
      <c r="E29" s="6" t="s">
        <v>154</v>
      </c>
      <c r="F29" s="6">
        <v>9</v>
      </c>
      <c r="G29" s="6" t="s">
        <v>66</v>
      </c>
      <c r="H29" s="6" t="b">
        <v>1</v>
      </c>
      <c r="I29" s="8" t="b">
        <v>1</v>
      </c>
    </row>
    <row r="30" spans="1:9" x14ac:dyDescent="0.25">
      <c r="A30" s="5" t="s">
        <v>155</v>
      </c>
      <c r="B30" s="6" t="s">
        <v>2</v>
      </c>
      <c r="C30" s="6" t="s">
        <v>156</v>
      </c>
      <c r="D30" s="6" t="s">
        <v>64</v>
      </c>
      <c r="E30" s="6" t="s">
        <v>157</v>
      </c>
      <c r="F30" s="6">
        <v>8</v>
      </c>
      <c r="G30" s="6" t="s">
        <v>66</v>
      </c>
      <c r="H30" s="6" t="b">
        <v>1</v>
      </c>
      <c r="I30" s="8" t="b">
        <v>1</v>
      </c>
    </row>
    <row r="31" spans="1:9" x14ac:dyDescent="0.25">
      <c r="A31" s="5" t="s">
        <v>62</v>
      </c>
      <c r="B31" s="6" t="s">
        <v>2</v>
      </c>
      <c r="C31" s="6" t="s">
        <v>63</v>
      </c>
      <c r="D31" s="6" t="s">
        <v>64</v>
      </c>
      <c r="E31" s="6" t="s">
        <v>65</v>
      </c>
      <c r="F31" s="6">
        <v>9</v>
      </c>
      <c r="G31" s="6" t="s">
        <v>66</v>
      </c>
      <c r="H31" s="6" t="b">
        <v>1</v>
      </c>
      <c r="I31" s="8" t="b">
        <v>1</v>
      </c>
    </row>
    <row r="32" spans="1:9" x14ac:dyDescent="0.25">
      <c r="A32" s="5" t="s">
        <v>67</v>
      </c>
      <c r="B32" s="6" t="s">
        <v>2</v>
      </c>
      <c r="C32" s="6" t="s">
        <v>68</v>
      </c>
      <c r="D32" s="6" t="s">
        <v>64</v>
      </c>
      <c r="E32" s="6" t="s">
        <v>69</v>
      </c>
      <c r="F32" s="6">
        <v>11</v>
      </c>
      <c r="G32" s="6" t="s">
        <v>66</v>
      </c>
      <c r="H32" s="6" t="b">
        <v>1</v>
      </c>
      <c r="I32" s="8" t="b">
        <v>0</v>
      </c>
    </row>
    <row r="33" spans="1:9" x14ac:dyDescent="0.25">
      <c r="A33" s="5" t="s">
        <v>158</v>
      </c>
      <c r="B33" s="6" t="s">
        <v>2</v>
      </c>
      <c r="C33" s="6" t="s">
        <v>159</v>
      </c>
      <c r="D33" s="6" t="s">
        <v>59</v>
      </c>
      <c r="E33" s="6" t="s">
        <v>160</v>
      </c>
      <c r="F33" s="6">
        <v>9</v>
      </c>
      <c r="G33" s="6" t="s">
        <v>66</v>
      </c>
      <c r="H33" s="6" t="b">
        <v>1</v>
      </c>
      <c r="I33" s="8" t="b">
        <v>1</v>
      </c>
    </row>
    <row r="34" spans="1:9" x14ac:dyDescent="0.25">
      <c r="A34" s="5" t="s">
        <v>161</v>
      </c>
      <c r="B34" s="6" t="s">
        <v>2</v>
      </c>
      <c r="C34" s="6" t="s">
        <v>162</v>
      </c>
      <c r="D34" s="6" t="s">
        <v>136</v>
      </c>
      <c r="E34" s="6" t="s">
        <v>163</v>
      </c>
      <c r="F34" s="6">
        <v>10</v>
      </c>
      <c r="G34" s="6" t="s">
        <v>66</v>
      </c>
      <c r="H34" s="6" t="b">
        <v>0</v>
      </c>
      <c r="I34" s="8" t="b">
        <v>1</v>
      </c>
    </row>
    <row r="35" spans="1:9" x14ac:dyDescent="0.25">
      <c r="A35" s="5" t="s">
        <v>79</v>
      </c>
      <c r="B35" s="6" t="s">
        <v>2</v>
      </c>
      <c r="C35" s="6" t="s">
        <v>80</v>
      </c>
      <c r="D35" s="6" t="s">
        <v>81</v>
      </c>
      <c r="E35" s="6" t="s">
        <v>82</v>
      </c>
      <c r="F35" s="6">
        <v>11</v>
      </c>
      <c r="G35" s="6" t="s">
        <v>66</v>
      </c>
      <c r="H35" s="6" t="b">
        <v>1</v>
      </c>
      <c r="I35" s="8" t="b">
        <v>0</v>
      </c>
    </row>
    <row r="36" spans="1:9" x14ac:dyDescent="0.25">
      <c r="A36" s="5" t="s">
        <v>86</v>
      </c>
      <c r="B36" s="6" t="s">
        <v>2</v>
      </c>
      <c r="C36" s="6" t="s">
        <v>87</v>
      </c>
      <c r="D36" s="6" t="s">
        <v>88</v>
      </c>
      <c r="E36" s="6" t="s">
        <v>89</v>
      </c>
      <c r="F36" s="6">
        <v>11</v>
      </c>
      <c r="G36" s="6" t="s">
        <v>66</v>
      </c>
      <c r="H36" s="6" t="b">
        <v>0</v>
      </c>
      <c r="I36" s="8" t="b">
        <v>1</v>
      </c>
    </row>
    <row r="37" spans="1:9" x14ac:dyDescent="0.25">
      <c r="A37" s="5" t="s">
        <v>90</v>
      </c>
      <c r="B37" s="6" t="s">
        <v>2</v>
      </c>
      <c r="C37" s="6" t="s">
        <v>91</v>
      </c>
      <c r="D37" s="6" t="s">
        <v>88</v>
      </c>
      <c r="E37" s="6" t="s">
        <v>92</v>
      </c>
      <c r="F37" s="6">
        <v>8</v>
      </c>
      <c r="G37" s="6" t="s">
        <v>66</v>
      </c>
      <c r="H37" s="6" t="b">
        <v>1</v>
      </c>
      <c r="I37" s="8" t="b">
        <v>1</v>
      </c>
    </row>
    <row r="38" spans="1:9" x14ac:dyDescent="0.25">
      <c r="A38" s="5" t="s">
        <v>93</v>
      </c>
      <c r="B38" s="6" t="s">
        <v>2</v>
      </c>
      <c r="C38" s="6" t="s">
        <v>94</v>
      </c>
      <c r="D38" s="6" t="s">
        <v>88</v>
      </c>
      <c r="E38" s="6" t="s">
        <v>95</v>
      </c>
      <c r="F38" s="6">
        <v>10</v>
      </c>
      <c r="G38" s="6" t="s">
        <v>66</v>
      </c>
      <c r="H38" s="6" t="b">
        <v>1</v>
      </c>
      <c r="I38" s="8" t="b">
        <v>0</v>
      </c>
    </row>
    <row r="39" spans="1:9" x14ac:dyDescent="0.25">
      <c r="A39" s="5" t="s">
        <v>96</v>
      </c>
      <c r="B39" s="6" t="s">
        <v>2</v>
      </c>
      <c r="C39" s="6" t="s">
        <v>97</v>
      </c>
      <c r="D39" s="6" t="s">
        <v>76</v>
      </c>
      <c r="E39" s="6" t="s">
        <v>98</v>
      </c>
      <c r="F39" s="6">
        <v>8</v>
      </c>
      <c r="G39" s="6" t="s">
        <v>66</v>
      </c>
      <c r="H39" s="6" t="b">
        <v>1</v>
      </c>
      <c r="I39" s="8" t="b">
        <v>0</v>
      </c>
    </row>
    <row r="40" spans="1:9" x14ac:dyDescent="0.25">
      <c r="A40" s="5" t="s">
        <v>164</v>
      </c>
      <c r="B40" s="6" t="s">
        <v>2</v>
      </c>
      <c r="C40" s="6" t="s">
        <v>165</v>
      </c>
      <c r="D40" s="6" t="s">
        <v>136</v>
      </c>
      <c r="E40" s="6" t="s">
        <v>166</v>
      </c>
      <c r="F40" s="6">
        <v>12</v>
      </c>
      <c r="G40" s="6" t="s">
        <v>66</v>
      </c>
      <c r="H40" s="6" t="b">
        <v>1</v>
      </c>
      <c r="I40" s="8" t="b">
        <v>1</v>
      </c>
    </row>
    <row r="41" spans="1:9" x14ac:dyDescent="0.25">
      <c r="A41" s="5" t="s">
        <v>167</v>
      </c>
      <c r="B41" s="6" t="s">
        <v>2</v>
      </c>
      <c r="C41" s="6" t="s">
        <v>168</v>
      </c>
      <c r="D41" s="6" t="s">
        <v>81</v>
      </c>
      <c r="E41" s="6" t="s">
        <v>169</v>
      </c>
      <c r="F41" s="6">
        <v>9</v>
      </c>
      <c r="G41" s="6" t="s">
        <v>78</v>
      </c>
      <c r="H41" s="6" t="b">
        <v>0</v>
      </c>
      <c r="I41" s="8" t="b">
        <v>0</v>
      </c>
    </row>
    <row r="42" spans="1:9" x14ac:dyDescent="0.25">
      <c r="A42" s="5" t="s">
        <v>170</v>
      </c>
      <c r="B42" s="6" t="s">
        <v>3</v>
      </c>
      <c r="C42" s="6" t="s">
        <v>171</v>
      </c>
      <c r="D42" s="6" t="s">
        <v>136</v>
      </c>
      <c r="E42" s="6" t="s">
        <v>172</v>
      </c>
      <c r="F42" s="6">
        <v>11</v>
      </c>
      <c r="G42" s="6" t="s">
        <v>66</v>
      </c>
      <c r="H42" s="6" t="b">
        <v>0</v>
      </c>
      <c r="I42" s="8" t="b">
        <v>1</v>
      </c>
    </row>
    <row r="43" spans="1:9" x14ac:dyDescent="0.25">
      <c r="A43" s="5" t="s">
        <v>173</v>
      </c>
      <c r="B43" s="6" t="s">
        <v>3</v>
      </c>
      <c r="C43" s="6" t="s">
        <v>174</v>
      </c>
      <c r="D43" s="6" t="s">
        <v>175</v>
      </c>
      <c r="E43" s="6" t="s">
        <v>176</v>
      </c>
      <c r="F43" s="6">
        <v>10</v>
      </c>
      <c r="G43" s="6" t="s">
        <v>66</v>
      </c>
      <c r="H43" s="6" t="b">
        <v>0</v>
      </c>
      <c r="I43" s="8" t="b">
        <v>0</v>
      </c>
    </row>
    <row r="44" spans="1:9" x14ac:dyDescent="0.25">
      <c r="A44" s="5" t="s">
        <v>155</v>
      </c>
      <c r="B44" s="6" t="s">
        <v>3</v>
      </c>
      <c r="C44" s="6" t="s">
        <v>156</v>
      </c>
      <c r="D44" s="6" t="s">
        <v>64</v>
      </c>
      <c r="E44" s="6" t="s">
        <v>157</v>
      </c>
      <c r="F44" s="6">
        <v>8</v>
      </c>
      <c r="G44" s="6" t="s">
        <v>66</v>
      </c>
      <c r="H44" s="6" t="b">
        <v>1</v>
      </c>
      <c r="I44" s="8" t="b">
        <v>1</v>
      </c>
    </row>
    <row r="45" spans="1:9" x14ac:dyDescent="0.25">
      <c r="A45" s="5" t="s">
        <v>70</v>
      </c>
      <c r="B45" s="6" t="s">
        <v>3</v>
      </c>
      <c r="C45" s="6" t="s">
        <v>71</v>
      </c>
      <c r="D45" s="6" t="s">
        <v>72</v>
      </c>
      <c r="E45" s="6" t="s">
        <v>73</v>
      </c>
      <c r="F45" s="6">
        <v>9</v>
      </c>
      <c r="G45" s="6" t="s">
        <v>66</v>
      </c>
      <c r="H45" s="6" t="b">
        <v>0</v>
      </c>
      <c r="I45" s="8" t="b">
        <v>1</v>
      </c>
    </row>
    <row r="46" spans="1:9" x14ac:dyDescent="0.25">
      <c r="A46" s="5" t="s">
        <v>161</v>
      </c>
      <c r="B46" s="6" t="s">
        <v>3</v>
      </c>
      <c r="C46" s="6" t="s">
        <v>162</v>
      </c>
      <c r="D46" s="6" t="s">
        <v>136</v>
      </c>
      <c r="E46" s="6" t="s">
        <v>163</v>
      </c>
      <c r="F46" s="6">
        <v>10</v>
      </c>
      <c r="G46" s="6" t="s">
        <v>66</v>
      </c>
      <c r="H46" s="6" t="b">
        <v>0</v>
      </c>
      <c r="I46" s="8" t="b">
        <v>1</v>
      </c>
    </row>
    <row r="47" spans="1:9" x14ac:dyDescent="0.25">
      <c r="A47" s="5" t="s">
        <v>177</v>
      </c>
      <c r="B47" s="6" t="s">
        <v>3</v>
      </c>
      <c r="C47" s="6" t="s">
        <v>178</v>
      </c>
      <c r="D47" s="6" t="s">
        <v>136</v>
      </c>
      <c r="E47" s="6" t="s">
        <v>179</v>
      </c>
      <c r="F47" s="6">
        <v>12</v>
      </c>
      <c r="G47" s="6" t="s">
        <v>66</v>
      </c>
      <c r="H47" s="6" t="b">
        <v>0</v>
      </c>
      <c r="I47" s="8" t="b">
        <v>1</v>
      </c>
    </row>
    <row r="48" spans="1:9" x14ac:dyDescent="0.25">
      <c r="A48" s="5" t="s">
        <v>180</v>
      </c>
      <c r="B48" s="6" t="s">
        <v>3</v>
      </c>
      <c r="C48" s="6" t="s">
        <v>181</v>
      </c>
      <c r="D48" s="6" t="s">
        <v>119</v>
      </c>
      <c r="E48" s="6" t="s">
        <v>182</v>
      </c>
      <c r="F48" s="6">
        <v>9</v>
      </c>
      <c r="G48" s="6" t="s">
        <v>66</v>
      </c>
      <c r="H48" s="6" t="b">
        <v>0</v>
      </c>
      <c r="I48" s="8" t="b">
        <v>1</v>
      </c>
    </row>
    <row r="49" spans="1:9" x14ac:dyDescent="0.25">
      <c r="A49" s="5" t="s">
        <v>183</v>
      </c>
      <c r="B49" s="6" t="s">
        <v>3</v>
      </c>
      <c r="C49" s="6" t="s">
        <v>184</v>
      </c>
      <c r="D49" s="6" t="s">
        <v>88</v>
      </c>
      <c r="E49" s="6" t="s">
        <v>185</v>
      </c>
      <c r="F49" s="6">
        <v>10</v>
      </c>
      <c r="G49" s="6" t="s">
        <v>66</v>
      </c>
      <c r="H49" s="6" t="b">
        <v>1</v>
      </c>
      <c r="I49" s="8" t="b">
        <v>0</v>
      </c>
    </row>
    <row r="50" spans="1:9" x14ac:dyDescent="0.25">
      <c r="A50" s="5" t="s">
        <v>186</v>
      </c>
      <c r="B50" s="6" t="s">
        <v>3</v>
      </c>
      <c r="C50" s="6" t="s">
        <v>187</v>
      </c>
      <c r="D50" s="6" t="s">
        <v>64</v>
      </c>
      <c r="E50" s="6" t="s">
        <v>188</v>
      </c>
      <c r="F50" s="6">
        <v>15</v>
      </c>
      <c r="G50" s="6" t="s">
        <v>66</v>
      </c>
      <c r="H50" s="6" t="b">
        <v>0</v>
      </c>
      <c r="I50" s="8" t="b">
        <v>0</v>
      </c>
    </row>
    <row r="51" spans="1:9" x14ac:dyDescent="0.25">
      <c r="A51" s="5" t="s">
        <v>189</v>
      </c>
      <c r="B51" s="6" t="s">
        <v>3</v>
      </c>
      <c r="C51" s="6" t="s">
        <v>190</v>
      </c>
      <c r="D51" s="6" t="s">
        <v>88</v>
      </c>
      <c r="E51" s="6" t="s">
        <v>191</v>
      </c>
      <c r="F51" s="6">
        <v>15</v>
      </c>
      <c r="G51" s="6" t="s">
        <v>66</v>
      </c>
      <c r="H51" s="6" t="b">
        <v>1</v>
      </c>
      <c r="I51" s="8" t="b">
        <v>1</v>
      </c>
    </row>
    <row r="52" spans="1:9" x14ac:dyDescent="0.25">
      <c r="A52" s="5" t="s">
        <v>192</v>
      </c>
      <c r="B52" s="6" t="s">
        <v>3</v>
      </c>
      <c r="C52" s="6" t="s">
        <v>193</v>
      </c>
      <c r="D52" s="6" t="s">
        <v>194</v>
      </c>
      <c r="E52" s="6" t="s">
        <v>195</v>
      </c>
      <c r="F52" s="6">
        <v>16</v>
      </c>
      <c r="G52" s="6" t="s">
        <v>66</v>
      </c>
      <c r="H52" s="6" t="b">
        <v>0</v>
      </c>
      <c r="I52" s="8" t="b">
        <v>0</v>
      </c>
    </row>
    <row r="53" spans="1:9" x14ac:dyDescent="0.25">
      <c r="A53" s="5" t="s">
        <v>196</v>
      </c>
      <c r="B53" s="6" t="s">
        <v>3</v>
      </c>
      <c r="C53" s="6" t="s">
        <v>197</v>
      </c>
      <c r="D53" s="6" t="s">
        <v>136</v>
      </c>
      <c r="E53" s="6" t="s">
        <v>198</v>
      </c>
      <c r="F53" s="6">
        <v>10</v>
      </c>
      <c r="G53" s="6" t="s">
        <v>66</v>
      </c>
      <c r="H53" s="6" t="b">
        <v>0</v>
      </c>
      <c r="I53" s="8" t="b">
        <v>0</v>
      </c>
    </row>
    <row r="54" spans="1:9" x14ac:dyDescent="0.25">
      <c r="A54" s="5" t="s">
        <v>199</v>
      </c>
      <c r="B54" s="6" t="s">
        <v>3</v>
      </c>
      <c r="C54" s="6" t="s">
        <v>200</v>
      </c>
      <c r="D54" s="6" t="s">
        <v>136</v>
      </c>
      <c r="E54" s="6" t="s">
        <v>201</v>
      </c>
      <c r="F54" s="6">
        <v>10</v>
      </c>
      <c r="G54" s="6" t="s">
        <v>66</v>
      </c>
      <c r="H54" s="6" t="b">
        <v>0</v>
      </c>
      <c r="I54" s="8" t="b">
        <v>1</v>
      </c>
    </row>
    <row r="55" spans="1:9" x14ac:dyDescent="0.25">
      <c r="A55" s="5" t="s">
        <v>202</v>
      </c>
      <c r="B55" s="6" t="s">
        <v>3</v>
      </c>
      <c r="C55" s="6" t="s">
        <v>203</v>
      </c>
      <c r="D55" s="6" t="s">
        <v>136</v>
      </c>
      <c r="E55" s="6" t="s">
        <v>204</v>
      </c>
      <c r="F55" s="6">
        <v>7</v>
      </c>
      <c r="G55" s="6" t="s">
        <v>66</v>
      </c>
      <c r="H55" s="6" t="b">
        <v>0</v>
      </c>
      <c r="I55" s="8" t="b">
        <v>0</v>
      </c>
    </row>
    <row r="56" spans="1:9" x14ac:dyDescent="0.25">
      <c r="A56" s="5" t="s">
        <v>205</v>
      </c>
      <c r="B56" s="6" t="s">
        <v>3</v>
      </c>
      <c r="C56" s="6" t="s">
        <v>206</v>
      </c>
      <c r="D56" s="6" t="s">
        <v>119</v>
      </c>
      <c r="E56" s="6" t="s">
        <v>207</v>
      </c>
      <c r="F56" s="6">
        <v>11</v>
      </c>
      <c r="G56" s="6" t="s">
        <v>66</v>
      </c>
      <c r="H56" s="6" t="b">
        <v>0</v>
      </c>
      <c r="I56" s="8" t="b">
        <v>1</v>
      </c>
    </row>
    <row r="57" spans="1:9" x14ac:dyDescent="0.25">
      <c r="A57" s="5" t="s">
        <v>208</v>
      </c>
      <c r="B57" s="6" t="s">
        <v>3</v>
      </c>
      <c r="C57" s="6" t="s">
        <v>209</v>
      </c>
      <c r="D57" s="6" t="s">
        <v>64</v>
      </c>
      <c r="E57" s="6" t="s">
        <v>210</v>
      </c>
      <c r="F57" s="6">
        <v>9</v>
      </c>
      <c r="G57" s="6" t="s">
        <v>66</v>
      </c>
      <c r="H57" s="6" t="b">
        <v>0</v>
      </c>
      <c r="I57" s="8" t="b">
        <v>0</v>
      </c>
    </row>
    <row r="58" spans="1:9" x14ac:dyDescent="0.25">
      <c r="A58" s="5" t="s">
        <v>211</v>
      </c>
      <c r="B58" s="6" t="s">
        <v>3</v>
      </c>
      <c r="C58" s="6" t="s">
        <v>212</v>
      </c>
      <c r="D58" s="6" t="s">
        <v>72</v>
      </c>
      <c r="E58" s="6" t="s">
        <v>213</v>
      </c>
      <c r="F58" s="6">
        <v>12</v>
      </c>
      <c r="G58" s="6" t="s">
        <v>66</v>
      </c>
      <c r="H58" s="6" t="b">
        <v>0</v>
      </c>
      <c r="I58" s="8" t="b">
        <v>0</v>
      </c>
    </row>
    <row r="59" spans="1:9" x14ac:dyDescent="0.25">
      <c r="A59" s="5" t="s">
        <v>214</v>
      </c>
      <c r="B59" s="6" t="s">
        <v>3</v>
      </c>
      <c r="C59" s="6" t="s">
        <v>215</v>
      </c>
      <c r="D59" s="6" t="s">
        <v>72</v>
      </c>
      <c r="E59" s="6" t="s">
        <v>216</v>
      </c>
      <c r="F59" s="6">
        <v>11</v>
      </c>
      <c r="G59" s="6" t="s">
        <v>78</v>
      </c>
      <c r="H59" s="6" t="b">
        <v>0</v>
      </c>
      <c r="I59" s="8" t="b">
        <v>0</v>
      </c>
    </row>
    <row r="60" spans="1:9" x14ac:dyDescent="0.25">
      <c r="A60" s="5" t="s">
        <v>217</v>
      </c>
      <c r="B60" s="6" t="s">
        <v>3</v>
      </c>
      <c r="C60" s="6" t="s">
        <v>218</v>
      </c>
      <c r="D60" s="6" t="s">
        <v>72</v>
      </c>
      <c r="E60" s="6" t="s">
        <v>219</v>
      </c>
      <c r="F60" s="6">
        <v>10</v>
      </c>
      <c r="G60" s="6" t="s">
        <v>66</v>
      </c>
      <c r="H60" s="6" t="b">
        <v>1</v>
      </c>
      <c r="I60" s="8" t="b">
        <v>0</v>
      </c>
    </row>
    <row r="61" spans="1:9" x14ac:dyDescent="0.25">
      <c r="A61" s="5" t="s">
        <v>220</v>
      </c>
      <c r="B61" s="6" t="s">
        <v>3</v>
      </c>
      <c r="C61" s="6" t="s">
        <v>221</v>
      </c>
      <c r="D61" s="6" t="s">
        <v>64</v>
      </c>
      <c r="E61" s="6" t="s">
        <v>222</v>
      </c>
      <c r="F61" s="6">
        <v>9</v>
      </c>
      <c r="G61" s="6" t="s">
        <v>66</v>
      </c>
      <c r="H61" s="6" t="b">
        <v>0</v>
      </c>
      <c r="I61" s="8" t="b">
        <v>1</v>
      </c>
    </row>
    <row r="62" spans="1:9" x14ac:dyDescent="0.25">
      <c r="A62" s="5" t="s">
        <v>223</v>
      </c>
      <c r="B62" s="6" t="s">
        <v>4</v>
      </c>
      <c r="C62" s="6" t="s">
        <v>224</v>
      </c>
      <c r="D62" s="6" t="s">
        <v>81</v>
      </c>
      <c r="E62" s="6" t="s">
        <v>225</v>
      </c>
      <c r="F62" s="6">
        <v>10</v>
      </c>
      <c r="G62" s="6" t="s">
        <v>66</v>
      </c>
      <c r="H62" s="6" t="b">
        <v>1</v>
      </c>
      <c r="I62" s="8" t="b">
        <v>1</v>
      </c>
    </row>
    <row r="63" spans="1:9" x14ac:dyDescent="0.25">
      <c r="A63" s="5" t="s">
        <v>226</v>
      </c>
      <c r="B63" s="6" t="s">
        <v>4</v>
      </c>
      <c r="C63" s="6" t="s">
        <v>227</v>
      </c>
      <c r="D63" s="6" t="s">
        <v>81</v>
      </c>
      <c r="E63" s="6" t="s">
        <v>228</v>
      </c>
      <c r="F63" s="6">
        <v>11</v>
      </c>
      <c r="G63" s="6" t="s">
        <v>66</v>
      </c>
      <c r="H63" s="6" t="b">
        <v>1</v>
      </c>
      <c r="I63" s="8" t="b">
        <v>0</v>
      </c>
    </row>
    <row r="64" spans="1:9" x14ac:dyDescent="0.25">
      <c r="A64" s="5" t="s">
        <v>229</v>
      </c>
      <c r="B64" s="6" t="s">
        <v>4</v>
      </c>
      <c r="C64" s="6" t="s">
        <v>230</v>
      </c>
      <c r="D64" s="6" t="s">
        <v>231</v>
      </c>
      <c r="E64" s="6" t="s">
        <v>232</v>
      </c>
      <c r="F64" s="6">
        <v>10</v>
      </c>
      <c r="G64" s="6" t="s">
        <v>66</v>
      </c>
      <c r="H64" s="6" t="b">
        <v>1</v>
      </c>
      <c r="I64" s="8" t="b">
        <v>0</v>
      </c>
    </row>
    <row r="65" spans="1:9" x14ac:dyDescent="0.25">
      <c r="A65" s="5" t="s">
        <v>233</v>
      </c>
      <c r="B65" s="6" t="s">
        <v>4</v>
      </c>
      <c r="C65" s="6" t="s">
        <v>234</v>
      </c>
      <c r="D65" s="6" t="s">
        <v>81</v>
      </c>
      <c r="E65" s="6" t="s">
        <v>235</v>
      </c>
      <c r="F65" s="6">
        <v>8</v>
      </c>
      <c r="G65" s="6" t="s">
        <v>66</v>
      </c>
      <c r="H65" s="6" t="b">
        <v>1</v>
      </c>
      <c r="I65" s="8" t="b">
        <v>0</v>
      </c>
    </row>
    <row r="66" spans="1:9" x14ac:dyDescent="0.25">
      <c r="A66" s="5" t="s">
        <v>236</v>
      </c>
      <c r="B66" s="6" t="s">
        <v>4</v>
      </c>
      <c r="C66" s="6" t="s">
        <v>237</v>
      </c>
      <c r="D66" s="6" t="s">
        <v>64</v>
      </c>
      <c r="E66" s="6" t="s">
        <v>238</v>
      </c>
      <c r="F66" s="6">
        <v>11</v>
      </c>
      <c r="G66" s="6" t="s">
        <v>66</v>
      </c>
      <c r="H66" s="6" t="b">
        <v>0</v>
      </c>
      <c r="I66" s="8" t="b">
        <v>1</v>
      </c>
    </row>
    <row r="67" spans="1:9" x14ac:dyDescent="0.25">
      <c r="A67" s="5" t="s">
        <v>239</v>
      </c>
      <c r="B67" s="6" t="s">
        <v>4</v>
      </c>
      <c r="C67" s="6" t="s">
        <v>240</v>
      </c>
      <c r="D67" s="6" t="s">
        <v>76</v>
      </c>
      <c r="E67" s="6" t="s">
        <v>241</v>
      </c>
      <c r="F67" s="6">
        <v>9</v>
      </c>
      <c r="G67" s="6" t="s">
        <v>66</v>
      </c>
      <c r="H67" s="6" t="b">
        <v>0</v>
      </c>
      <c r="I67" s="8" t="b">
        <v>1</v>
      </c>
    </row>
    <row r="68" spans="1:9" x14ac:dyDescent="0.25">
      <c r="A68" s="5" t="s">
        <v>242</v>
      </c>
      <c r="B68" s="6" t="s">
        <v>4</v>
      </c>
      <c r="C68" s="6" t="s">
        <v>243</v>
      </c>
      <c r="D68" s="6" t="s">
        <v>72</v>
      </c>
      <c r="E68" s="6" t="s">
        <v>244</v>
      </c>
      <c r="F68" s="6">
        <v>11</v>
      </c>
      <c r="G68" s="6" t="s">
        <v>66</v>
      </c>
      <c r="H68" s="6" t="b">
        <v>0</v>
      </c>
      <c r="I68" s="8" t="b">
        <v>0</v>
      </c>
    </row>
    <row r="69" spans="1:9" x14ac:dyDescent="0.25">
      <c r="A69" s="5" t="s">
        <v>245</v>
      </c>
      <c r="B69" s="6" t="s">
        <v>4</v>
      </c>
      <c r="C69" s="6" t="s">
        <v>246</v>
      </c>
      <c r="D69" s="6" t="s">
        <v>76</v>
      </c>
      <c r="E69" s="6" t="s">
        <v>247</v>
      </c>
      <c r="F69" s="6">
        <v>12</v>
      </c>
      <c r="G69" s="6" t="s">
        <v>66</v>
      </c>
      <c r="H69" s="6" t="b">
        <v>0</v>
      </c>
      <c r="I69" s="8" t="b">
        <v>1</v>
      </c>
    </row>
    <row r="70" spans="1:9" x14ac:dyDescent="0.25">
      <c r="A70" s="5" t="s">
        <v>248</v>
      </c>
      <c r="B70" s="6" t="s">
        <v>4</v>
      </c>
      <c r="C70" s="6" t="s">
        <v>249</v>
      </c>
      <c r="D70" s="6" t="s">
        <v>76</v>
      </c>
      <c r="E70" s="6" t="s">
        <v>250</v>
      </c>
      <c r="F70" s="6">
        <v>9</v>
      </c>
      <c r="G70" s="6" t="s">
        <v>66</v>
      </c>
      <c r="H70" s="6" t="b">
        <v>1</v>
      </c>
      <c r="I70" s="8" t="b">
        <v>0</v>
      </c>
    </row>
    <row r="71" spans="1:9" x14ac:dyDescent="0.25">
      <c r="A71" s="5" t="s">
        <v>251</v>
      </c>
      <c r="B71" s="6" t="s">
        <v>4</v>
      </c>
      <c r="C71" s="6" t="s">
        <v>252</v>
      </c>
      <c r="D71" s="6" t="s">
        <v>64</v>
      </c>
      <c r="E71" s="6" t="s">
        <v>253</v>
      </c>
      <c r="F71" s="6">
        <v>10</v>
      </c>
      <c r="G71" s="6" t="s">
        <v>66</v>
      </c>
      <c r="H71" s="6" t="b">
        <v>0</v>
      </c>
      <c r="I71" s="8" t="b">
        <v>1</v>
      </c>
    </row>
    <row r="72" spans="1:9" x14ac:dyDescent="0.25">
      <c r="A72" s="5" t="s">
        <v>254</v>
      </c>
      <c r="B72" s="6" t="s">
        <v>4</v>
      </c>
      <c r="C72" s="6" t="s">
        <v>255</v>
      </c>
      <c r="D72" s="6" t="s">
        <v>64</v>
      </c>
      <c r="E72" s="6" t="s">
        <v>256</v>
      </c>
      <c r="F72" s="6">
        <v>11</v>
      </c>
      <c r="G72" s="6" t="s">
        <v>66</v>
      </c>
      <c r="H72" s="6" t="b">
        <v>0</v>
      </c>
      <c r="I72" s="8" t="b">
        <v>1</v>
      </c>
    </row>
    <row r="73" spans="1:9" x14ac:dyDescent="0.25">
      <c r="A73" s="5" t="s">
        <v>257</v>
      </c>
      <c r="B73" s="6" t="s">
        <v>4</v>
      </c>
      <c r="C73" s="6" t="s">
        <v>258</v>
      </c>
      <c r="D73" s="6" t="s">
        <v>72</v>
      </c>
      <c r="E73" s="6" t="s">
        <v>259</v>
      </c>
      <c r="F73" s="6">
        <v>12</v>
      </c>
      <c r="G73" s="6" t="s">
        <v>66</v>
      </c>
      <c r="H73" s="6" t="b">
        <v>1</v>
      </c>
      <c r="I73" s="8" t="b">
        <v>0</v>
      </c>
    </row>
    <row r="74" spans="1:9" x14ac:dyDescent="0.25">
      <c r="A74" s="5" t="s">
        <v>260</v>
      </c>
      <c r="B74" s="6" t="s">
        <v>4</v>
      </c>
      <c r="C74" s="6" t="s">
        <v>261</v>
      </c>
      <c r="D74" s="6" t="s">
        <v>76</v>
      </c>
      <c r="E74" s="6" t="s">
        <v>262</v>
      </c>
      <c r="F74" s="6">
        <v>11</v>
      </c>
      <c r="G74" s="6" t="s">
        <v>66</v>
      </c>
      <c r="H74" s="6" t="b">
        <v>1</v>
      </c>
      <c r="I74" s="8" t="b">
        <v>0</v>
      </c>
    </row>
    <row r="75" spans="1:9" x14ac:dyDescent="0.25">
      <c r="A75" s="5" t="s">
        <v>263</v>
      </c>
      <c r="B75" s="6" t="s">
        <v>4</v>
      </c>
      <c r="C75" s="6" t="s">
        <v>264</v>
      </c>
      <c r="D75" s="6" t="s">
        <v>76</v>
      </c>
      <c r="E75" s="6" t="s">
        <v>265</v>
      </c>
      <c r="F75" s="6">
        <v>12</v>
      </c>
      <c r="G75" s="6" t="s">
        <v>66</v>
      </c>
      <c r="H75" s="6" t="b">
        <v>1</v>
      </c>
      <c r="I75" s="8" t="b">
        <v>0</v>
      </c>
    </row>
    <row r="76" spans="1:9" x14ac:dyDescent="0.25">
      <c r="A76" s="5" t="s">
        <v>266</v>
      </c>
      <c r="B76" s="6" t="s">
        <v>4</v>
      </c>
      <c r="C76" s="6" t="s">
        <v>267</v>
      </c>
      <c r="D76" s="6" t="s">
        <v>76</v>
      </c>
      <c r="E76" s="6" t="s">
        <v>268</v>
      </c>
      <c r="F76" s="6">
        <v>11</v>
      </c>
      <c r="G76" s="6" t="s">
        <v>66</v>
      </c>
      <c r="H76" s="6" t="b">
        <v>1</v>
      </c>
      <c r="I76" s="8" t="b">
        <v>1</v>
      </c>
    </row>
    <row r="77" spans="1:9" x14ac:dyDescent="0.25">
      <c r="A77" s="5" t="s">
        <v>269</v>
      </c>
      <c r="B77" s="6" t="s">
        <v>4</v>
      </c>
      <c r="C77" s="6" t="s">
        <v>270</v>
      </c>
      <c r="D77" s="6" t="s">
        <v>72</v>
      </c>
      <c r="E77" s="6" t="s">
        <v>271</v>
      </c>
      <c r="F77" s="6">
        <v>8</v>
      </c>
      <c r="G77" s="6" t="s">
        <v>66</v>
      </c>
      <c r="H77" s="6" t="b">
        <v>0</v>
      </c>
      <c r="I77" s="8" t="b">
        <v>1</v>
      </c>
    </row>
    <row r="78" spans="1:9" x14ac:dyDescent="0.25">
      <c r="A78" s="5" t="s">
        <v>272</v>
      </c>
      <c r="B78" s="6" t="s">
        <v>4</v>
      </c>
      <c r="C78" s="6" t="s">
        <v>273</v>
      </c>
      <c r="D78" s="6" t="s">
        <v>59</v>
      </c>
      <c r="E78" s="6" t="s">
        <v>274</v>
      </c>
      <c r="F78" s="6">
        <v>9</v>
      </c>
      <c r="G78" s="6" t="s">
        <v>66</v>
      </c>
      <c r="H78" s="6" t="b">
        <v>0</v>
      </c>
      <c r="I78" s="8" t="b">
        <v>0</v>
      </c>
    </row>
    <row r="79" spans="1:9" x14ac:dyDescent="0.25">
      <c r="A79" s="5" t="s">
        <v>275</v>
      </c>
      <c r="B79" s="6" t="s">
        <v>4</v>
      </c>
      <c r="C79" s="6" t="s">
        <v>276</v>
      </c>
      <c r="D79" s="6" t="s">
        <v>59</v>
      </c>
      <c r="E79" s="6" t="s">
        <v>277</v>
      </c>
      <c r="F79" s="6">
        <v>9</v>
      </c>
      <c r="G79" s="6" t="s">
        <v>66</v>
      </c>
      <c r="H79" s="6" t="b">
        <v>0</v>
      </c>
      <c r="I79" s="8" t="b">
        <v>1</v>
      </c>
    </row>
    <row r="80" spans="1:9" x14ac:dyDescent="0.25">
      <c r="A80" s="5" t="s">
        <v>278</v>
      </c>
      <c r="B80" s="6" t="s">
        <v>4</v>
      </c>
      <c r="C80" s="6" t="s">
        <v>279</v>
      </c>
      <c r="D80" s="6" t="s">
        <v>59</v>
      </c>
      <c r="E80" s="6" t="s">
        <v>280</v>
      </c>
      <c r="F80" s="6">
        <v>8</v>
      </c>
      <c r="G80" s="6" t="s">
        <v>66</v>
      </c>
      <c r="H80" s="6" t="b">
        <v>0</v>
      </c>
      <c r="I80" s="8" t="b">
        <v>1</v>
      </c>
    </row>
    <row r="81" spans="1:9" x14ac:dyDescent="0.25">
      <c r="A81" s="5" t="s">
        <v>281</v>
      </c>
      <c r="B81" s="6" t="s">
        <v>4</v>
      </c>
      <c r="C81" s="6" t="s">
        <v>282</v>
      </c>
      <c r="D81" s="6" t="s">
        <v>88</v>
      </c>
      <c r="E81" s="6" t="s">
        <v>283</v>
      </c>
      <c r="F81" s="6">
        <v>7</v>
      </c>
      <c r="G81" s="6" t="s">
        <v>66</v>
      </c>
      <c r="H81" s="6" t="b">
        <v>0</v>
      </c>
      <c r="I81" s="8" t="b">
        <v>0</v>
      </c>
    </row>
    <row r="82" spans="1:9" x14ac:dyDescent="0.25">
      <c r="A82" s="5" t="s">
        <v>74</v>
      </c>
      <c r="B82" s="6" t="s">
        <v>5</v>
      </c>
      <c r="C82" s="6" t="s">
        <v>75</v>
      </c>
      <c r="D82" s="6" t="s">
        <v>76</v>
      </c>
      <c r="E82" s="6" t="s">
        <v>77</v>
      </c>
      <c r="F82" s="6">
        <v>7</v>
      </c>
      <c r="G82" s="6" t="s">
        <v>78</v>
      </c>
      <c r="H82" s="6" t="b">
        <v>1</v>
      </c>
      <c r="I82" s="8" t="b">
        <v>0</v>
      </c>
    </row>
    <row r="83" spans="1:9" x14ac:dyDescent="0.25">
      <c r="A83" s="5" t="s">
        <v>83</v>
      </c>
      <c r="B83" s="6" t="s">
        <v>5</v>
      </c>
      <c r="C83" s="6" t="s">
        <v>84</v>
      </c>
      <c r="D83" s="6" t="s">
        <v>76</v>
      </c>
      <c r="E83" s="6" t="s">
        <v>85</v>
      </c>
      <c r="F83" s="6">
        <v>10</v>
      </c>
      <c r="G83" s="6" t="s">
        <v>66</v>
      </c>
      <c r="H83" s="6" t="b">
        <v>1</v>
      </c>
      <c r="I83" s="8" t="b">
        <v>0</v>
      </c>
    </row>
    <row r="84" spans="1:9" x14ac:dyDescent="0.25">
      <c r="A84" s="5" t="s">
        <v>223</v>
      </c>
      <c r="B84" s="6" t="s">
        <v>5</v>
      </c>
      <c r="C84" s="6" t="s">
        <v>224</v>
      </c>
      <c r="D84" s="6" t="s">
        <v>81</v>
      </c>
      <c r="E84" s="6" t="s">
        <v>225</v>
      </c>
      <c r="F84" s="6">
        <v>10</v>
      </c>
      <c r="G84" s="6" t="s">
        <v>66</v>
      </c>
      <c r="H84" s="6" t="b">
        <v>1</v>
      </c>
      <c r="I84" s="8" t="b">
        <v>1</v>
      </c>
    </row>
    <row r="85" spans="1:9" x14ac:dyDescent="0.25">
      <c r="A85" s="5" t="s">
        <v>102</v>
      </c>
      <c r="B85" s="6" t="s">
        <v>5</v>
      </c>
      <c r="C85" s="6" t="s">
        <v>103</v>
      </c>
      <c r="D85" s="6" t="s">
        <v>76</v>
      </c>
      <c r="E85" s="6" t="s">
        <v>104</v>
      </c>
      <c r="F85" s="6">
        <v>9</v>
      </c>
      <c r="G85" s="6" t="s">
        <v>66</v>
      </c>
      <c r="H85" s="6" t="b">
        <v>1</v>
      </c>
      <c r="I85" s="8" t="b">
        <v>1</v>
      </c>
    </row>
    <row r="86" spans="1:9" x14ac:dyDescent="0.25">
      <c r="A86" s="5" t="s">
        <v>105</v>
      </c>
      <c r="B86" s="6" t="s">
        <v>5</v>
      </c>
      <c r="C86" s="6" t="s">
        <v>106</v>
      </c>
      <c r="D86" s="6" t="s">
        <v>59</v>
      </c>
      <c r="E86" s="6" t="s">
        <v>107</v>
      </c>
      <c r="F86" s="6">
        <v>13</v>
      </c>
      <c r="G86" s="6" t="s">
        <v>66</v>
      </c>
      <c r="H86" s="6" t="b">
        <v>0</v>
      </c>
      <c r="I86" s="8" t="b">
        <v>0</v>
      </c>
    </row>
    <row r="87" spans="1:9" x14ac:dyDescent="0.25">
      <c r="A87" s="5" t="s">
        <v>117</v>
      </c>
      <c r="B87" s="6" t="s">
        <v>5</v>
      </c>
      <c r="C87" s="6" t="s">
        <v>118</v>
      </c>
      <c r="D87" s="6" t="s">
        <v>119</v>
      </c>
      <c r="E87" s="6" t="s">
        <v>120</v>
      </c>
      <c r="F87" s="6">
        <v>11</v>
      </c>
      <c r="G87" s="6" t="s">
        <v>66</v>
      </c>
      <c r="H87" s="6" t="b">
        <v>1</v>
      </c>
      <c r="I87" s="8" t="b">
        <v>1</v>
      </c>
    </row>
    <row r="88" spans="1:9" x14ac:dyDescent="0.25">
      <c r="A88" s="5" t="s">
        <v>124</v>
      </c>
      <c r="B88" s="6" t="s">
        <v>5</v>
      </c>
      <c r="C88" s="6" t="s">
        <v>125</v>
      </c>
      <c r="D88" s="6" t="s">
        <v>126</v>
      </c>
      <c r="E88" s="6" t="s">
        <v>127</v>
      </c>
      <c r="F88" s="6">
        <v>11</v>
      </c>
      <c r="G88" s="6" t="s">
        <v>78</v>
      </c>
      <c r="H88" s="6" t="b">
        <v>1</v>
      </c>
      <c r="I88" s="8" t="b">
        <v>0</v>
      </c>
    </row>
    <row r="89" spans="1:9" x14ac:dyDescent="0.25">
      <c r="A89" s="5" t="s">
        <v>284</v>
      </c>
      <c r="B89" s="6" t="s">
        <v>5</v>
      </c>
      <c r="C89" s="6" t="s">
        <v>285</v>
      </c>
      <c r="D89" s="6" t="s">
        <v>136</v>
      </c>
      <c r="E89" s="6" t="s">
        <v>286</v>
      </c>
      <c r="F89" s="6">
        <v>10</v>
      </c>
      <c r="G89" s="6" t="s">
        <v>66</v>
      </c>
      <c r="H89" s="6" t="b">
        <v>0</v>
      </c>
      <c r="I89" s="8" t="b">
        <v>0</v>
      </c>
    </row>
    <row r="90" spans="1:9" x14ac:dyDescent="0.25">
      <c r="A90" s="5" t="s">
        <v>287</v>
      </c>
      <c r="B90" s="6" t="s">
        <v>5</v>
      </c>
      <c r="C90" s="6" t="s">
        <v>288</v>
      </c>
      <c r="D90" s="6" t="s">
        <v>76</v>
      </c>
      <c r="E90" s="6" t="s">
        <v>289</v>
      </c>
      <c r="F90" s="6">
        <v>11</v>
      </c>
      <c r="G90" s="6" t="s">
        <v>66</v>
      </c>
      <c r="H90" s="6" t="b">
        <v>1</v>
      </c>
      <c r="I90" s="8" t="b">
        <v>0</v>
      </c>
    </row>
    <row r="91" spans="1:9" x14ac:dyDescent="0.25">
      <c r="A91" s="5" t="s">
        <v>290</v>
      </c>
      <c r="B91" s="6" t="s">
        <v>5</v>
      </c>
      <c r="C91" s="6" t="s">
        <v>291</v>
      </c>
      <c r="D91" s="6" t="s">
        <v>194</v>
      </c>
      <c r="E91" s="6" t="s">
        <v>292</v>
      </c>
      <c r="F91" s="6">
        <v>14</v>
      </c>
      <c r="G91" s="6" t="s">
        <v>66</v>
      </c>
      <c r="H91" s="6" t="b">
        <v>0</v>
      </c>
      <c r="I91" s="8" t="b">
        <v>0</v>
      </c>
    </row>
    <row r="92" spans="1:9" x14ac:dyDescent="0.25">
      <c r="A92" s="5" t="s">
        <v>293</v>
      </c>
      <c r="B92" s="6" t="s">
        <v>5</v>
      </c>
      <c r="C92" s="6" t="s">
        <v>294</v>
      </c>
      <c r="D92" s="6" t="s">
        <v>194</v>
      </c>
      <c r="E92" s="6" t="s">
        <v>295</v>
      </c>
      <c r="F92" s="6">
        <v>10</v>
      </c>
      <c r="G92" s="6" t="s">
        <v>66</v>
      </c>
      <c r="H92" s="6" t="b">
        <v>1</v>
      </c>
      <c r="I92" s="8" t="b">
        <v>1</v>
      </c>
    </row>
    <row r="93" spans="1:9" x14ac:dyDescent="0.25">
      <c r="A93" s="5" t="s">
        <v>296</v>
      </c>
      <c r="B93" s="6" t="s">
        <v>5</v>
      </c>
      <c r="C93" s="6" t="s">
        <v>297</v>
      </c>
      <c r="D93" s="6" t="s">
        <v>194</v>
      </c>
      <c r="E93" s="6" t="s">
        <v>298</v>
      </c>
      <c r="F93" s="6">
        <v>9</v>
      </c>
      <c r="G93" s="6" t="s">
        <v>66</v>
      </c>
      <c r="H93" s="6" t="b">
        <v>0</v>
      </c>
      <c r="I93" s="8" t="b">
        <v>0</v>
      </c>
    </row>
    <row r="94" spans="1:9" x14ac:dyDescent="0.25">
      <c r="A94" s="5" t="s">
        <v>299</v>
      </c>
      <c r="B94" s="6" t="s">
        <v>5</v>
      </c>
      <c r="C94" s="6" t="s">
        <v>300</v>
      </c>
      <c r="D94" s="6" t="s">
        <v>81</v>
      </c>
      <c r="E94" s="6" t="s">
        <v>301</v>
      </c>
      <c r="F94" s="6">
        <v>12</v>
      </c>
      <c r="G94" s="6" t="s">
        <v>66</v>
      </c>
      <c r="H94" s="6" t="b">
        <v>0</v>
      </c>
      <c r="I94" s="8" t="b">
        <v>1</v>
      </c>
    </row>
    <row r="95" spans="1:9" x14ac:dyDescent="0.25">
      <c r="A95" s="5" t="s">
        <v>302</v>
      </c>
      <c r="B95" s="6" t="s">
        <v>5</v>
      </c>
      <c r="C95" s="6" t="s">
        <v>303</v>
      </c>
      <c r="D95" s="6" t="s">
        <v>194</v>
      </c>
      <c r="E95" s="6" t="s">
        <v>304</v>
      </c>
      <c r="F95" s="6">
        <v>15</v>
      </c>
      <c r="G95" s="6" t="s">
        <v>66</v>
      </c>
      <c r="H95" s="6" t="b">
        <v>1</v>
      </c>
      <c r="I95" s="8" t="b">
        <v>0</v>
      </c>
    </row>
    <row r="96" spans="1:9" x14ac:dyDescent="0.25">
      <c r="A96" s="5" t="s">
        <v>192</v>
      </c>
      <c r="B96" s="6" t="s">
        <v>5</v>
      </c>
      <c r="C96" s="6" t="s">
        <v>193</v>
      </c>
      <c r="D96" s="6" t="s">
        <v>194</v>
      </c>
      <c r="E96" s="6" t="s">
        <v>195</v>
      </c>
      <c r="F96" s="6">
        <v>16</v>
      </c>
      <c r="G96" s="6" t="s">
        <v>66</v>
      </c>
      <c r="H96" s="6" t="b">
        <v>0</v>
      </c>
      <c r="I96" s="8" t="b">
        <v>0</v>
      </c>
    </row>
    <row r="97" spans="1:9" x14ac:dyDescent="0.25">
      <c r="A97" s="5" t="s">
        <v>305</v>
      </c>
      <c r="B97" s="6" t="s">
        <v>5</v>
      </c>
      <c r="C97" s="6" t="s">
        <v>306</v>
      </c>
      <c r="D97" s="6" t="s">
        <v>59</v>
      </c>
      <c r="E97" s="6" t="s">
        <v>307</v>
      </c>
      <c r="F97" s="6">
        <v>15</v>
      </c>
      <c r="G97" s="6" t="s">
        <v>66</v>
      </c>
      <c r="H97" s="6" t="b">
        <v>0</v>
      </c>
      <c r="I97" s="8" t="b">
        <v>0</v>
      </c>
    </row>
    <row r="98" spans="1:9" x14ac:dyDescent="0.25">
      <c r="A98" s="5" t="s">
        <v>308</v>
      </c>
      <c r="B98" s="6" t="s">
        <v>5</v>
      </c>
      <c r="C98" s="6" t="s">
        <v>309</v>
      </c>
      <c r="D98" s="6" t="s">
        <v>81</v>
      </c>
      <c r="E98" s="6" t="s">
        <v>310</v>
      </c>
      <c r="F98" s="6">
        <v>9</v>
      </c>
      <c r="G98" s="6" t="s">
        <v>66</v>
      </c>
      <c r="H98" s="6" t="b">
        <v>1</v>
      </c>
      <c r="I98" s="8" t="b">
        <v>0</v>
      </c>
    </row>
    <row r="99" spans="1:9" x14ac:dyDescent="0.25">
      <c r="A99" s="5" t="s">
        <v>311</v>
      </c>
      <c r="B99" s="6" t="s">
        <v>5</v>
      </c>
      <c r="C99" s="6" t="s">
        <v>312</v>
      </c>
      <c r="D99" s="6" t="s">
        <v>76</v>
      </c>
      <c r="E99" s="6" t="s">
        <v>313</v>
      </c>
      <c r="F99" s="6">
        <v>9</v>
      </c>
      <c r="G99" s="6" t="s">
        <v>66</v>
      </c>
      <c r="H99" s="6" t="b">
        <v>1</v>
      </c>
      <c r="I99" s="8" t="b">
        <v>0</v>
      </c>
    </row>
    <row r="100" spans="1:9" x14ac:dyDescent="0.25">
      <c r="A100" s="5" t="s">
        <v>314</v>
      </c>
      <c r="B100" s="6" t="s">
        <v>5</v>
      </c>
      <c r="C100" s="6" t="s">
        <v>315</v>
      </c>
      <c r="D100" s="6" t="s">
        <v>76</v>
      </c>
      <c r="E100" s="6" t="s">
        <v>316</v>
      </c>
      <c r="F100" s="6">
        <v>12</v>
      </c>
      <c r="G100" s="6" t="s">
        <v>66</v>
      </c>
      <c r="H100" s="6" t="b">
        <v>1</v>
      </c>
      <c r="I100" s="8" t="b">
        <v>1</v>
      </c>
    </row>
    <row r="101" spans="1:9" x14ac:dyDescent="0.25">
      <c r="A101" s="5" t="s">
        <v>317</v>
      </c>
      <c r="B101" s="6" t="s">
        <v>5</v>
      </c>
      <c r="C101" s="6" t="s">
        <v>318</v>
      </c>
      <c r="D101" s="6" t="s">
        <v>126</v>
      </c>
      <c r="E101" s="6" t="s">
        <v>319</v>
      </c>
      <c r="F101" s="6">
        <v>13</v>
      </c>
      <c r="G101" s="6" t="s">
        <v>66</v>
      </c>
      <c r="H101" s="6" t="b">
        <v>1</v>
      </c>
      <c r="I101" s="8" t="b">
        <v>1</v>
      </c>
    </row>
    <row r="102" spans="1:9" x14ac:dyDescent="0.25">
      <c r="A102" s="5" t="s">
        <v>114</v>
      </c>
      <c r="B102" s="6" t="s">
        <v>6</v>
      </c>
      <c r="C102" s="6" t="s">
        <v>115</v>
      </c>
      <c r="D102" s="6" t="s">
        <v>76</v>
      </c>
      <c r="E102" s="6" t="s">
        <v>116</v>
      </c>
      <c r="F102" s="6">
        <v>14</v>
      </c>
      <c r="G102" s="6" t="s">
        <v>66</v>
      </c>
      <c r="H102" s="6" t="b">
        <v>0</v>
      </c>
      <c r="I102" s="8" t="b">
        <v>1</v>
      </c>
    </row>
    <row r="103" spans="1:9" x14ac:dyDescent="0.25">
      <c r="A103" s="5" t="s">
        <v>293</v>
      </c>
      <c r="B103" s="6" t="s">
        <v>6</v>
      </c>
      <c r="C103" s="6" t="s">
        <v>294</v>
      </c>
      <c r="D103" s="6" t="s">
        <v>194</v>
      </c>
      <c r="E103" s="6" t="s">
        <v>295</v>
      </c>
      <c r="F103" s="6">
        <v>10</v>
      </c>
      <c r="G103" s="6" t="s">
        <v>66</v>
      </c>
      <c r="H103" s="6" t="b">
        <v>1</v>
      </c>
      <c r="I103" s="8" t="b">
        <v>1</v>
      </c>
    </row>
    <row r="104" spans="1:9" x14ac:dyDescent="0.25">
      <c r="A104" s="5" t="s">
        <v>320</v>
      </c>
      <c r="B104" s="6" t="s">
        <v>6</v>
      </c>
      <c r="C104" s="6" t="s">
        <v>321</v>
      </c>
      <c r="D104" s="6" t="s">
        <v>88</v>
      </c>
      <c r="E104" s="6" t="s">
        <v>322</v>
      </c>
      <c r="F104" s="6">
        <v>14</v>
      </c>
      <c r="G104" s="6" t="s">
        <v>66</v>
      </c>
      <c r="H104" s="6" t="b">
        <v>0</v>
      </c>
      <c r="I104" s="8" t="b">
        <v>0</v>
      </c>
    </row>
    <row r="105" spans="1:9" x14ac:dyDescent="0.25">
      <c r="A105" s="5" t="s">
        <v>323</v>
      </c>
      <c r="B105" s="6" t="s">
        <v>6</v>
      </c>
      <c r="C105" s="6" t="s">
        <v>324</v>
      </c>
      <c r="D105" s="6" t="s">
        <v>76</v>
      </c>
      <c r="E105" s="6" t="s">
        <v>325</v>
      </c>
      <c r="F105" s="6">
        <v>13</v>
      </c>
      <c r="G105" s="6" t="s">
        <v>66</v>
      </c>
      <c r="H105" s="6" t="b">
        <v>0</v>
      </c>
      <c r="I105" s="8" t="b">
        <v>1</v>
      </c>
    </row>
    <row r="106" spans="1:9" x14ac:dyDescent="0.25">
      <c r="A106" s="5" t="s">
        <v>326</v>
      </c>
      <c r="B106" s="6" t="s">
        <v>6</v>
      </c>
      <c r="C106" s="6" t="s">
        <v>327</v>
      </c>
      <c r="D106" s="6" t="s">
        <v>72</v>
      </c>
      <c r="E106" s="6" t="s">
        <v>328</v>
      </c>
      <c r="F106" s="6">
        <v>9</v>
      </c>
      <c r="G106" s="6" t="s">
        <v>66</v>
      </c>
      <c r="H106" s="6" t="b">
        <v>1</v>
      </c>
      <c r="I106" s="8" t="b">
        <v>0</v>
      </c>
    </row>
    <row r="107" spans="1:9" x14ac:dyDescent="0.25">
      <c r="A107" s="5" t="s">
        <v>329</v>
      </c>
      <c r="B107" s="6" t="s">
        <v>6</v>
      </c>
      <c r="C107" s="6" t="s">
        <v>330</v>
      </c>
      <c r="D107" s="6" t="s">
        <v>72</v>
      </c>
      <c r="E107" s="6" t="s">
        <v>331</v>
      </c>
      <c r="F107" s="6">
        <v>13</v>
      </c>
      <c r="G107" s="6" t="s">
        <v>66</v>
      </c>
      <c r="H107" s="6" t="b">
        <v>0</v>
      </c>
      <c r="I107" s="8" t="b">
        <v>0</v>
      </c>
    </row>
    <row r="108" spans="1:9" x14ac:dyDescent="0.25">
      <c r="A108" s="5" t="s">
        <v>332</v>
      </c>
      <c r="B108" s="6" t="s">
        <v>6</v>
      </c>
      <c r="C108" s="6" t="s">
        <v>333</v>
      </c>
      <c r="D108" s="6" t="s">
        <v>72</v>
      </c>
      <c r="E108" s="6" t="s">
        <v>334</v>
      </c>
      <c r="F108" s="6">
        <v>10</v>
      </c>
      <c r="G108" s="6" t="s">
        <v>66</v>
      </c>
      <c r="H108" s="6" t="b">
        <v>1</v>
      </c>
      <c r="I108" s="8" t="b">
        <v>0</v>
      </c>
    </row>
    <row r="109" spans="1:9" x14ac:dyDescent="0.25">
      <c r="A109" s="5" t="s">
        <v>335</v>
      </c>
      <c r="B109" s="6" t="s">
        <v>6</v>
      </c>
      <c r="C109" s="6" t="s">
        <v>336</v>
      </c>
      <c r="D109" s="6" t="s">
        <v>337</v>
      </c>
      <c r="E109" s="6" t="s">
        <v>338</v>
      </c>
      <c r="F109" s="6">
        <v>10</v>
      </c>
      <c r="G109" s="6" t="s">
        <v>66</v>
      </c>
      <c r="H109" s="6" t="b">
        <v>0</v>
      </c>
      <c r="I109" s="8" t="b">
        <v>0</v>
      </c>
    </row>
    <row r="110" spans="1:9" x14ac:dyDescent="0.25">
      <c r="A110" s="5" t="s">
        <v>339</v>
      </c>
      <c r="B110" s="6" t="s">
        <v>6</v>
      </c>
      <c r="C110" s="6" t="s">
        <v>340</v>
      </c>
      <c r="D110" s="6" t="s">
        <v>72</v>
      </c>
      <c r="E110" s="6" t="s">
        <v>341</v>
      </c>
      <c r="F110" s="6">
        <v>10</v>
      </c>
      <c r="G110" s="6" t="s">
        <v>66</v>
      </c>
      <c r="H110" s="6" t="b">
        <v>0</v>
      </c>
      <c r="I110" s="8" t="b">
        <v>1</v>
      </c>
    </row>
    <row r="111" spans="1:9" x14ac:dyDescent="0.25">
      <c r="A111" s="5" t="s">
        <v>342</v>
      </c>
      <c r="B111" s="6" t="s">
        <v>6</v>
      </c>
      <c r="C111" s="6" t="s">
        <v>343</v>
      </c>
      <c r="D111" s="6" t="s">
        <v>337</v>
      </c>
      <c r="E111" s="6" t="s">
        <v>344</v>
      </c>
      <c r="F111" s="6">
        <v>10</v>
      </c>
      <c r="G111" s="6" t="s">
        <v>66</v>
      </c>
      <c r="H111" s="6" t="b">
        <v>0</v>
      </c>
      <c r="I111" s="8" t="b">
        <v>1</v>
      </c>
    </row>
    <row r="112" spans="1:9" x14ac:dyDescent="0.25">
      <c r="A112" s="5" t="s">
        <v>345</v>
      </c>
      <c r="B112" s="6" t="s">
        <v>6</v>
      </c>
      <c r="C112" s="6" t="s">
        <v>346</v>
      </c>
      <c r="D112" s="6" t="s">
        <v>72</v>
      </c>
      <c r="E112" s="6" t="s">
        <v>347</v>
      </c>
      <c r="F112" s="6">
        <v>9</v>
      </c>
      <c r="G112" s="6" t="s">
        <v>66</v>
      </c>
      <c r="H112" s="6" t="b">
        <v>0</v>
      </c>
      <c r="I112" s="8" t="b">
        <v>1</v>
      </c>
    </row>
    <row r="113" spans="1:9" x14ac:dyDescent="0.25">
      <c r="A113" s="5" t="s">
        <v>348</v>
      </c>
      <c r="B113" s="6" t="s">
        <v>6</v>
      </c>
      <c r="C113" s="6" t="s">
        <v>349</v>
      </c>
      <c r="D113" s="6" t="s">
        <v>81</v>
      </c>
      <c r="E113" s="6" t="s">
        <v>350</v>
      </c>
      <c r="F113" s="6">
        <v>9</v>
      </c>
      <c r="G113" s="6" t="s">
        <v>66</v>
      </c>
      <c r="H113" s="6" t="b">
        <v>1</v>
      </c>
      <c r="I113" s="8" t="b">
        <v>0</v>
      </c>
    </row>
    <row r="114" spans="1:9" x14ac:dyDescent="0.25">
      <c r="A114" s="5" t="s">
        <v>351</v>
      </c>
      <c r="B114" s="6" t="s">
        <v>6</v>
      </c>
      <c r="C114" s="6" t="s">
        <v>352</v>
      </c>
      <c r="D114" s="6" t="s">
        <v>72</v>
      </c>
      <c r="E114" s="6" t="s">
        <v>353</v>
      </c>
      <c r="F114" s="6">
        <v>8</v>
      </c>
      <c r="G114" s="6" t="s">
        <v>66</v>
      </c>
      <c r="H114" s="6" t="b">
        <v>1</v>
      </c>
      <c r="I114" s="8" t="b">
        <v>1</v>
      </c>
    </row>
    <row r="115" spans="1:9" x14ac:dyDescent="0.25">
      <c r="A115" s="5" t="s">
        <v>354</v>
      </c>
      <c r="B115" s="6" t="s">
        <v>6</v>
      </c>
      <c r="C115" s="6" t="s">
        <v>355</v>
      </c>
      <c r="D115" s="6" t="s">
        <v>72</v>
      </c>
      <c r="E115" s="6" t="s">
        <v>356</v>
      </c>
      <c r="F115" s="6">
        <v>8</v>
      </c>
      <c r="G115" s="6" t="s">
        <v>66</v>
      </c>
      <c r="H115" s="6" t="b">
        <v>1</v>
      </c>
      <c r="I115" s="8" t="b">
        <v>1</v>
      </c>
    </row>
    <row r="116" spans="1:9" x14ac:dyDescent="0.25">
      <c r="A116" s="5" t="s">
        <v>357</v>
      </c>
      <c r="B116" s="6" t="s">
        <v>6</v>
      </c>
      <c r="C116" s="6" t="s">
        <v>358</v>
      </c>
      <c r="D116" s="6" t="s">
        <v>72</v>
      </c>
      <c r="E116" s="6" t="s">
        <v>359</v>
      </c>
      <c r="F116" s="6">
        <v>7</v>
      </c>
      <c r="G116" s="6" t="s">
        <v>66</v>
      </c>
      <c r="H116" s="6" t="b">
        <v>0</v>
      </c>
      <c r="I116" s="8" t="b">
        <v>0</v>
      </c>
    </row>
    <row r="117" spans="1:9" x14ac:dyDescent="0.25">
      <c r="A117" s="5" t="s">
        <v>360</v>
      </c>
      <c r="B117" s="6" t="s">
        <v>6</v>
      </c>
      <c r="C117" s="6" t="s">
        <v>361</v>
      </c>
      <c r="D117" s="6" t="s">
        <v>88</v>
      </c>
      <c r="E117" s="6" t="s">
        <v>362</v>
      </c>
      <c r="F117" s="6">
        <v>5</v>
      </c>
      <c r="G117" s="6" t="s">
        <v>66</v>
      </c>
      <c r="H117" s="6" t="b">
        <v>0</v>
      </c>
      <c r="I117" s="8" t="b">
        <v>0</v>
      </c>
    </row>
    <row r="118" spans="1:9" x14ac:dyDescent="0.25">
      <c r="A118" s="5" t="s">
        <v>363</v>
      </c>
      <c r="B118" s="6" t="s">
        <v>6</v>
      </c>
      <c r="C118" s="6" t="s">
        <v>364</v>
      </c>
      <c r="D118" s="6" t="s">
        <v>88</v>
      </c>
      <c r="E118" s="6" t="s">
        <v>365</v>
      </c>
      <c r="F118" s="6">
        <v>8</v>
      </c>
      <c r="G118" s="6" t="s">
        <v>66</v>
      </c>
      <c r="H118" s="6" t="b">
        <v>0</v>
      </c>
      <c r="I118" s="8" t="b">
        <v>1</v>
      </c>
    </row>
    <row r="119" spans="1:9" x14ac:dyDescent="0.25">
      <c r="A119" s="5" t="s">
        <v>366</v>
      </c>
      <c r="B119" s="6" t="s">
        <v>6</v>
      </c>
      <c r="C119" s="6" t="s">
        <v>367</v>
      </c>
      <c r="D119" s="6" t="s">
        <v>59</v>
      </c>
      <c r="E119" s="6" t="s">
        <v>368</v>
      </c>
      <c r="F119" s="6">
        <v>9</v>
      </c>
      <c r="G119" s="6" t="s">
        <v>66</v>
      </c>
      <c r="H119" s="6" t="b">
        <v>0</v>
      </c>
      <c r="I119" s="8" t="b">
        <v>0</v>
      </c>
    </row>
    <row r="120" spans="1:9" x14ac:dyDescent="0.25">
      <c r="A120" s="5" t="s">
        <v>369</v>
      </c>
      <c r="B120" s="6" t="s">
        <v>6</v>
      </c>
      <c r="C120" s="6" t="s">
        <v>370</v>
      </c>
      <c r="D120" s="6" t="s">
        <v>371</v>
      </c>
      <c r="E120" s="6" t="s">
        <v>372</v>
      </c>
      <c r="F120" s="6">
        <v>18</v>
      </c>
      <c r="G120" s="6" t="s">
        <v>373</v>
      </c>
      <c r="H120" s="6" t="b">
        <v>0</v>
      </c>
      <c r="I120" s="8" t="b">
        <v>0</v>
      </c>
    </row>
    <row r="121" spans="1:9" x14ac:dyDescent="0.25">
      <c r="A121" s="9" t="s">
        <v>374</v>
      </c>
      <c r="B121" s="10" t="s">
        <v>6</v>
      </c>
      <c r="C121" s="10" t="s">
        <v>375</v>
      </c>
      <c r="D121" s="10" t="s">
        <v>59</v>
      </c>
      <c r="E121" s="10" t="s">
        <v>376</v>
      </c>
      <c r="F121" s="10">
        <v>8</v>
      </c>
      <c r="G121" s="10" t="s">
        <v>66</v>
      </c>
      <c r="H121" s="10" t="b">
        <v>0</v>
      </c>
      <c r="I121" s="11" t="b">
        <v>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selection sqref="A1:D7"/>
    </sheetView>
  </sheetViews>
  <sheetFormatPr defaultRowHeight="15" x14ac:dyDescent="0.25"/>
  <cols>
    <col min="1" max="1" width="14" bestFit="1" customWidth="1"/>
    <col min="2" max="2" width="14.7109375" customWidth="1"/>
    <col min="3" max="3" width="19.42578125" customWidth="1"/>
    <col min="4" max="4" width="20" customWidth="1"/>
  </cols>
  <sheetData>
    <row r="1" spans="1:4" x14ac:dyDescent="0.25">
      <c r="A1" s="1" t="s">
        <v>23</v>
      </c>
      <c r="B1" s="2" t="s">
        <v>377</v>
      </c>
      <c r="C1" s="2" t="s">
        <v>378</v>
      </c>
      <c r="D1" s="4" t="s">
        <v>379</v>
      </c>
    </row>
    <row r="2" spans="1:4" x14ac:dyDescent="0.25">
      <c r="A2" s="5" t="s">
        <v>1</v>
      </c>
      <c r="B2" s="6">
        <v>20</v>
      </c>
      <c r="C2" s="6">
        <v>14</v>
      </c>
      <c r="D2" s="8">
        <v>11</v>
      </c>
    </row>
    <row r="3" spans="1:4" x14ac:dyDescent="0.25">
      <c r="A3" s="5" t="s">
        <v>2</v>
      </c>
      <c r="B3" s="6">
        <v>20</v>
      </c>
      <c r="C3" s="6">
        <v>16</v>
      </c>
      <c r="D3" s="8">
        <v>14</v>
      </c>
    </row>
    <row r="4" spans="1:4" x14ac:dyDescent="0.25">
      <c r="A4" s="5" t="s">
        <v>3</v>
      </c>
      <c r="B4" s="6">
        <v>20</v>
      </c>
      <c r="C4" s="6">
        <v>4</v>
      </c>
      <c r="D4" s="8">
        <v>10</v>
      </c>
    </row>
    <row r="5" spans="1:4" x14ac:dyDescent="0.25">
      <c r="A5" s="5" t="s">
        <v>4</v>
      </c>
      <c r="B5" s="6">
        <v>20</v>
      </c>
      <c r="C5" s="6">
        <v>9</v>
      </c>
      <c r="D5" s="8">
        <v>13</v>
      </c>
    </row>
    <row r="6" spans="1:4" x14ac:dyDescent="0.25">
      <c r="A6" s="5" t="s">
        <v>5</v>
      </c>
      <c r="B6" s="6">
        <v>20</v>
      </c>
      <c r="C6" s="6">
        <v>13</v>
      </c>
      <c r="D6" s="8">
        <v>7</v>
      </c>
    </row>
    <row r="7" spans="1:4" x14ac:dyDescent="0.25">
      <c r="A7" s="9" t="s">
        <v>6</v>
      </c>
      <c r="B7" s="10">
        <v>20</v>
      </c>
      <c r="C7" s="10">
        <v>6</v>
      </c>
      <c r="D7" s="11">
        <v>10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topLeftCell="D1" workbookViewId="0">
      <selection sqref="A1:D7"/>
    </sheetView>
  </sheetViews>
  <sheetFormatPr defaultRowHeight="15" x14ac:dyDescent="0.25"/>
  <cols>
    <col min="1" max="1" width="73.28515625" bestFit="1" customWidth="1"/>
    <col min="2" max="2" width="135.42578125" bestFit="1" customWidth="1"/>
    <col min="3" max="3" width="34" bestFit="1" customWidth="1"/>
    <col min="4" max="4" width="157.28515625" bestFit="1" customWidth="1"/>
  </cols>
  <sheetData>
    <row r="1" spans="1:4" x14ac:dyDescent="0.25">
      <c r="A1" s="1" t="s">
        <v>380</v>
      </c>
      <c r="B1" s="2" t="s">
        <v>381</v>
      </c>
      <c r="C1" s="2" t="s">
        <v>382</v>
      </c>
      <c r="D1" s="4" t="s">
        <v>383</v>
      </c>
    </row>
    <row r="2" spans="1:4" x14ac:dyDescent="0.25">
      <c r="A2" s="5" t="s">
        <v>384</v>
      </c>
      <c r="B2" s="6" t="s">
        <v>385</v>
      </c>
      <c r="C2" s="6" t="s">
        <v>386</v>
      </c>
      <c r="D2" s="8" t="s">
        <v>387</v>
      </c>
    </row>
    <row r="3" spans="1:4" x14ac:dyDescent="0.25">
      <c r="A3" s="5" t="s">
        <v>388</v>
      </c>
      <c r="B3" s="6" t="s">
        <v>389</v>
      </c>
      <c r="C3" s="6" t="s">
        <v>390</v>
      </c>
      <c r="D3" s="8" t="s">
        <v>391</v>
      </c>
    </row>
    <row r="4" spans="1:4" x14ac:dyDescent="0.25">
      <c r="A4" s="5" t="s">
        <v>392</v>
      </c>
      <c r="B4" s="6" t="s">
        <v>393</v>
      </c>
      <c r="C4" s="6" t="s">
        <v>394</v>
      </c>
      <c r="D4" s="8" t="s">
        <v>395</v>
      </c>
    </row>
    <row r="5" spans="1:4" x14ac:dyDescent="0.25">
      <c r="A5" s="5" t="s">
        <v>396</v>
      </c>
      <c r="B5" s="6" t="s">
        <v>397</v>
      </c>
      <c r="C5" s="6" t="s">
        <v>386</v>
      </c>
      <c r="D5" s="8" t="s">
        <v>405</v>
      </c>
    </row>
    <row r="6" spans="1:4" x14ac:dyDescent="0.25">
      <c r="A6" s="5" t="s">
        <v>398</v>
      </c>
      <c r="B6" s="6" t="s">
        <v>399</v>
      </c>
      <c r="C6" s="6" t="s">
        <v>386</v>
      </c>
      <c r="D6" s="8" t="s">
        <v>400</v>
      </c>
    </row>
    <row r="7" spans="1:4" x14ac:dyDescent="0.25">
      <c r="A7" s="9" t="s">
        <v>401</v>
      </c>
      <c r="B7" s="10" t="s">
        <v>402</v>
      </c>
      <c r="C7" s="10" t="s">
        <v>403</v>
      </c>
      <c r="D7" s="11" t="s">
        <v>404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"/>
  <sheetViews>
    <sheetView tabSelected="1" topLeftCell="A4" zoomScaleNormal="100" workbookViewId="0">
      <selection sqref="A1:C23"/>
    </sheetView>
  </sheetViews>
  <sheetFormatPr defaultRowHeight="15" x14ac:dyDescent="0.25"/>
  <cols>
    <col min="1" max="1" width="14" bestFit="1" customWidth="1"/>
    <col min="2" max="2" width="22.140625" bestFit="1" customWidth="1"/>
  </cols>
  <sheetData>
    <row r="1" spans="1:2" x14ac:dyDescent="0.25">
      <c r="A1" s="1" t="s">
        <v>20</v>
      </c>
      <c r="B1" s="4" t="s">
        <v>21</v>
      </c>
    </row>
    <row r="2" spans="1:2" x14ac:dyDescent="0.25">
      <c r="A2" s="27">
        <v>45901</v>
      </c>
      <c r="B2" s="8">
        <v>57500</v>
      </c>
    </row>
    <row r="3" spans="1:2" x14ac:dyDescent="0.25">
      <c r="A3" s="27">
        <v>45931</v>
      </c>
      <c r="B3" s="8">
        <v>59000</v>
      </c>
    </row>
    <row r="4" spans="1:2" x14ac:dyDescent="0.25">
      <c r="A4" s="27">
        <v>45962</v>
      </c>
      <c r="B4" s="8">
        <v>75000</v>
      </c>
    </row>
    <row r="5" spans="1:2" x14ac:dyDescent="0.25">
      <c r="A5" s="27">
        <v>45992</v>
      </c>
      <c r="B5" s="8">
        <v>62400</v>
      </c>
    </row>
    <row r="6" spans="1:2" x14ac:dyDescent="0.25">
      <c r="A6" s="27">
        <v>46023</v>
      </c>
      <c r="B6" s="8">
        <v>64000</v>
      </c>
    </row>
    <row r="7" spans="1:2" x14ac:dyDescent="0.25">
      <c r="A7" s="27">
        <v>46054</v>
      </c>
      <c r="B7" s="8">
        <v>94685</v>
      </c>
    </row>
    <row r="8" spans="1:2" x14ac:dyDescent="0.25">
      <c r="A8" s="27">
        <v>46082</v>
      </c>
      <c r="B8" s="8">
        <v>96570</v>
      </c>
    </row>
    <row r="9" spans="1:2" x14ac:dyDescent="0.25">
      <c r="A9" s="27">
        <v>46113</v>
      </c>
      <c r="B9" s="8">
        <v>95845</v>
      </c>
    </row>
    <row r="10" spans="1:2" x14ac:dyDescent="0.25">
      <c r="A10" s="27">
        <v>46143</v>
      </c>
      <c r="B10" s="8">
        <v>97440</v>
      </c>
    </row>
    <row r="11" spans="1:2" x14ac:dyDescent="0.25">
      <c r="A11" s="27">
        <v>46174</v>
      </c>
      <c r="B11" s="8">
        <v>99035</v>
      </c>
    </row>
    <row r="12" spans="1:2" x14ac:dyDescent="0.25">
      <c r="A12" s="27">
        <v>46204</v>
      </c>
      <c r="B12" s="8">
        <v>100920</v>
      </c>
    </row>
    <row r="13" spans="1:2" x14ac:dyDescent="0.25">
      <c r="A13" s="28">
        <v>46235</v>
      </c>
      <c r="B13" s="11">
        <v>102805</v>
      </c>
    </row>
    <row r="17" spans="1:3" x14ac:dyDescent="0.25">
      <c r="A17" s="1" t="s">
        <v>23</v>
      </c>
      <c r="B17" s="12" t="s">
        <v>29</v>
      </c>
      <c r="C17" s="26" t="s">
        <v>30</v>
      </c>
    </row>
    <row r="18" spans="1:3" x14ac:dyDescent="0.25">
      <c r="A18" s="5" t="s">
        <v>1</v>
      </c>
      <c r="B18" s="6">
        <v>21200</v>
      </c>
      <c r="C18" s="8">
        <v>31610</v>
      </c>
    </row>
    <row r="19" spans="1:3" x14ac:dyDescent="0.25">
      <c r="A19" s="5" t="s">
        <v>2</v>
      </c>
      <c r="B19" s="6">
        <v>13400</v>
      </c>
      <c r="C19" s="8">
        <v>19865</v>
      </c>
    </row>
    <row r="20" spans="1:3" x14ac:dyDescent="0.25">
      <c r="A20" s="5" t="s">
        <v>3</v>
      </c>
      <c r="B20" s="6">
        <v>11400</v>
      </c>
      <c r="C20" s="8">
        <v>16820</v>
      </c>
    </row>
    <row r="21" spans="1:3" x14ac:dyDescent="0.25">
      <c r="A21" s="5" t="s">
        <v>4</v>
      </c>
      <c r="B21" s="6">
        <v>8500</v>
      </c>
      <c r="C21" s="8">
        <v>12615</v>
      </c>
    </row>
    <row r="22" spans="1:3" x14ac:dyDescent="0.25">
      <c r="A22" s="5" t="s">
        <v>5</v>
      </c>
      <c r="B22" s="6">
        <v>5800</v>
      </c>
      <c r="C22" s="8">
        <v>8555</v>
      </c>
    </row>
    <row r="23" spans="1:3" x14ac:dyDescent="0.25">
      <c r="A23" s="9" t="s">
        <v>6</v>
      </c>
      <c r="B23" s="10">
        <v>3700</v>
      </c>
      <c r="C23" s="11">
        <v>5220</v>
      </c>
    </row>
  </sheetData>
  <pageMargins left="0.7" right="0.7" top="0.75" bottom="0.75" header="0.3" footer="0.3"/>
  <pageSetup orientation="portrait" r:id="rId1"/>
  <drawing r:id="rId2"/>
  <tableParts count="2"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traffic_table</vt:lpstr>
      <vt:lpstr>Raw_Traffic</vt:lpstr>
      <vt:lpstr>Traffic_Analysis</vt:lpstr>
      <vt:lpstr>Raw_Articles</vt:lpstr>
      <vt:lpstr>Part1_Findings</vt:lpstr>
      <vt:lpstr>Notes_Check</vt:lpstr>
      <vt:lpstr>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2026-10-04T22:27:31Z</dcterms:created>
  <dcterms:modified xsi:type="dcterms:W3CDTF">2026-10-06T00:48:27Z</dcterms:modified>
</cp:coreProperties>
</file>